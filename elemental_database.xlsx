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GREENANO\1_Non-ferrous alloys\1_Sustainability project\Filtering\"/>
    </mc:Choice>
  </mc:AlternateContent>
  <xr:revisionPtr revIDLastSave="0" documentId="13_ncr:1_{C893095E-1A07-4576-885D-30F8941118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<sst xmlns="http://schemas.openxmlformats.org/spreadsheetml/2006/main" count="376" uniqueCount="166">
  <si>
    <t>Z</t>
  </si>
  <si>
    <t>Element</t>
  </si>
  <si>
    <t>Molar mass</t>
  </si>
  <si>
    <t>Reserve (ton)</t>
  </si>
  <si>
    <t>Production (ton)</t>
  </si>
  <si>
    <t>Lifetime (years)</t>
  </si>
  <si>
    <t>HHI (USGS)</t>
  </si>
  <si>
    <t>ESG Score</t>
  </si>
  <si>
    <t>Supply risk</t>
  </si>
  <si>
    <t>CO2 footprint min (kg/kg)</t>
  </si>
  <si>
    <t>CO2 footprint average (kg/kg)</t>
  </si>
  <si>
    <t>CO2 footprint max (kg/kg)</t>
  </si>
  <si>
    <t>Embodied energy min (MJ/kg)</t>
  </si>
  <si>
    <t>Embodied energy average (MJ/kg)</t>
  </si>
  <si>
    <t>Embodied energy max (MJ/kg)</t>
  </si>
  <si>
    <t>Water usage min (l/kg)</t>
  </si>
  <si>
    <t>Water usage average (l/kg)</t>
  </si>
  <si>
    <t>Water usage max (l/kg)</t>
  </si>
  <si>
    <t>Price volatility (%)</t>
  </si>
  <si>
    <t>Companionality</t>
  </si>
  <si>
    <t>Host metal</t>
  </si>
  <si>
    <t>Toxicity</t>
  </si>
  <si>
    <t>Source</t>
  </si>
  <si>
    <t>H</t>
  </si>
  <si>
    <t>He</t>
  </si>
  <si>
    <t>Li</t>
  </si>
  <si>
    <t>K</t>
  </si>
  <si>
    <t>Be</t>
  </si>
  <si>
    <t>B</t>
  </si>
  <si>
    <t>C</t>
  </si>
  <si>
    <t>N</t>
  </si>
  <si>
    <t>O</t>
  </si>
  <si>
    <t>F</t>
  </si>
  <si>
    <t>F content in Fluorospar - CaF2 (48.67%)
https://pubs.usgs.gov/periodicals/mcs2024/mcs2024.pdf</t>
  </si>
  <si>
    <t>Ne</t>
  </si>
  <si>
    <t>https://www.cowi.com/news-and-press/news/2023/comparing-co2-emissions-from-different-energy-sources/</t>
  </si>
  <si>
    <t>Na</t>
  </si>
  <si>
    <t>Na content in Soda ash - Na2CO3 (43.38%)
https://pubs.usgs.gov/periodicals/mcs2024/mcs2024.pdf</t>
  </si>
  <si>
    <t>Mg</t>
  </si>
  <si>
    <t>Primary production: https://pubs.usgs.gov/periodicals/mcs2024/mcs2024.pdf 
Recycled production: https://www.mineralinfo.fr/sites/default/files/2024-03/Les%20march%C3%A9s%20mondiaux%20CyclOpe%202023_metaux_elec_petits_0.pdf 
Reserves: https://fr-statista-com.bases-doc.univ-lorraine.fr/statistiques/565288/reserves-mondiales-de-magnesite-par-principaux-pays/
Reserves of magnesite (MgCO3) are estimated to 7142000000t leading to a magnesium reserve of 2059000000t</t>
  </si>
  <si>
    <t>Al</t>
  </si>
  <si>
    <t xml:space="preserve">Production: https://www.mineralinfo.fr/fr/substance/aluminium-bauxite
Reserves: 30000 Mt of bauxite potentially leading to 6000Mt of Aluminium (average Al content in bauxite being estimated between 15 and 25 %) - https://doi.org/10.1016/B978-0-12-820585-3.00001-6 </t>
  </si>
  <si>
    <t>Si</t>
  </si>
  <si>
    <t>P</t>
  </si>
  <si>
    <t>S</t>
  </si>
  <si>
    <t>Cl</t>
  </si>
  <si>
    <t>https://www1.eere.energy.gov/manufacturing/industries_technologies/imf/pdfs/1797_advanced_chlor-alkali.pdf</t>
  </si>
  <si>
    <t>Ar</t>
  </si>
  <si>
    <t>Ca</t>
  </si>
  <si>
    <t>Sc</t>
  </si>
  <si>
    <t>Fe, Sn, W, U</t>
  </si>
  <si>
    <t>https://www.mineralinfo.fr/sites/default/files/documents/2020-12/fichecriticitescandium180102.pdf</t>
  </si>
  <si>
    <t>Ti</t>
  </si>
  <si>
    <t>V</t>
  </si>
  <si>
    <t>Fe, U</t>
  </si>
  <si>
    <t>https://www.mineralinfo.fr/sites/default/files/2023-03/fiche_criticite_titane_171017.pdf
Production of TiO2 is estimated to be Mt, but the production of Titanium as a metal (Ti) - useful for alloys - represents only 233kt (180kt primary, 53 kt secondary)
Reserves: https://pubs.usgs.gov/periodicals/mcs2021/mcs2021.pdf</t>
  </si>
  <si>
    <t>Cr</t>
  </si>
  <si>
    <t>Pt</t>
  </si>
  <si>
    <t>Mn</t>
  </si>
  <si>
    <t>Fe</t>
  </si>
  <si>
    <t>Ti, V, Cu</t>
  </si>
  <si>
    <t>Co</t>
  </si>
  <si>
    <t>Ni, Cu, Pt, Pd, As</t>
  </si>
  <si>
    <t>Ni</t>
  </si>
  <si>
    <t>Pt, Pd</t>
  </si>
  <si>
    <t>Cu</t>
  </si>
  <si>
    <t>Ni, Au, Pb, Zn, Ag, Pt</t>
  </si>
  <si>
    <t>Zn</t>
  </si>
  <si>
    <t>Cu, Ag, Au, Pb</t>
  </si>
  <si>
    <t>Ga</t>
  </si>
  <si>
    <t>Ge</t>
  </si>
  <si>
    <t>As</t>
  </si>
  <si>
    <t>Cu, Pb, Co, Au, Sn, Zn</t>
  </si>
  <si>
    <t>Se</t>
  </si>
  <si>
    <t>Cu, Ni, Zn, Ag, Hg, Pb</t>
  </si>
  <si>
    <t>Br</t>
  </si>
  <si>
    <t>https://pubs.usgs.gov/periodicals/mcs2022/mcs2022-bromine.pdf</t>
  </si>
  <si>
    <t>Kr</t>
  </si>
  <si>
    <t>N/A</t>
  </si>
  <si>
    <t>Rb</t>
  </si>
  <si>
    <t>https://pubs.usgs.gov/of/2003/of03-045/of03-045.pdf</t>
  </si>
  <si>
    <t>Sr</t>
  </si>
  <si>
    <t>Y</t>
  </si>
  <si>
    <t>Sm, Ce, La, Fe, Ti, Sn</t>
  </si>
  <si>
    <t>Zr</t>
  </si>
  <si>
    <t>Nb</t>
  </si>
  <si>
    <t>Ta, Sn</t>
  </si>
  <si>
    <t>Mo</t>
  </si>
  <si>
    <t>Tc</t>
  </si>
  <si>
    <t>Ru</t>
  </si>
  <si>
    <t>Pt, Ni</t>
  </si>
  <si>
    <t>Rh</t>
  </si>
  <si>
    <t>Pd</t>
  </si>
  <si>
    <t>Ni, Pt</t>
  </si>
  <si>
    <t>Ag</t>
  </si>
  <si>
    <t>Zn, Pb, Cu, Au</t>
  </si>
  <si>
    <t>Cd</t>
  </si>
  <si>
    <t>In</t>
  </si>
  <si>
    <t>Zn, Sn, Cu</t>
  </si>
  <si>
    <t>Sn</t>
  </si>
  <si>
    <t>Zn, Ta, Cu</t>
  </si>
  <si>
    <t>Sb</t>
  </si>
  <si>
    <t>Pb, Ag, W, Sn, Au</t>
  </si>
  <si>
    <t>Te</t>
  </si>
  <si>
    <t>Cu, Pb, Bi</t>
  </si>
  <si>
    <t>I</t>
  </si>
  <si>
    <t>Xe</t>
  </si>
  <si>
    <t>Cs</t>
  </si>
  <si>
    <t>Ba</t>
  </si>
  <si>
    <t>Cu, Au, Pb, Ag, Zn</t>
  </si>
  <si>
    <t>La</t>
  </si>
  <si>
    <t>Fe, Ce, Sm, Y, Ti, Sn</t>
  </si>
  <si>
    <t>Ce</t>
  </si>
  <si>
    <t>Fe, Ti, Y, Sm, La, Sn</t>
  </si>
  <si>
    <t>Pr</t>
  </si>
  <si>
    <t>Fe, Ce, Sm, Y, La, Ti, Sn</t>
  </si>
  <si>
    <t>Nd</t>
  </si>
  <si>
    <t>Fe, Ce, Y, La, Y, Ti, Sn</t>
  </si>
  <si>
    <t>Pm</t>
  </si>
  <si>
    <t>Sm</t>
  </si>
  <si>
    <t>Fe, Ce, Y, La, Ti, Sn</t>
  </si>
  <si>
    <t>Eu</t>
  </si>
  <si>
    <t>Fe, Ce, Y, Sm, La, Ti, Sn</t>
  </si>
  <si>
    <t>Gd</t>
  </si>
  <si>
    <t>Y, Fe, Sm, Ce, La, Ti, Sn</t>
  </si>
  <si>
    <t>Tb</t>
  </si>
  <si>
    <t>https://rmis.jrc.ec.europa.eu/rmp/Terbium</t>
  </si>
  <si>
    <t>Dy</t>
  </si>
  <si>
    <t>Y, Sm, Ce, La, Fe, Ti, Sn</t>
  </si>
  <si>
    <t>Ho</t>
  </si>
  <si>
    <t>Y, Sm, Ce, La, Ti, Sn</t>
  </si>
  <si>
    <t>Er</t>
  </si>
  <si>
    <t>Emsley, John (2003).Nature's building blocks: an A-Z guide to the elements. Oxford University Press.</t>
  </si>
  <si>
    <t>Tm</t>
  </si>
  <si>
    <t>Y, Sm, Ce, La, Ti</t>
  </si>
  <si>
    <t>Yb</t>
  </si>
  <si>
    <t>Lu</t>
  </si>
  <si>
    <t>Hf</t>
  </si>
  <si>
    <t>https://www.crmalliance.eu/hafnium#:~:text=Where%20is%20Hafnium%20Produced%3F&amp;text=The%20global%20producers%20of%20hafnium,3%25%20and%20Russia%203%25.</t>
  </si>
  <si>
    <t>Ta</t>
  </si>
  <si>
    <t>Sn, Nb</t>
  </si>
  <si>
    <t>W</t>
  </si>
  <si>
    <t>Sn, Mo</t>
  </si>
  <si>
    <t>Re</t>
  </si>
  <si>
    <t>Cu, Mo</t>
  </si>
  <si>
    <t>Os</t>
  </si>
  <si>
    <t>Ir</t>
  </si>
  <si>
    <t>Ni, Pd</t>
  </si>
  <si>
    <t>Au</t>
  </si>
  <si>
    <t>Cu, Zn, Ag, Pt, Ni</t>
  </si>
  <si>
    <t>Hg</t>
  </si>
  <si>
    <t>Au, Ag, Zn, Cu, Pb</t>
  </si>
  <si>
    <t>Tl</t>
  </si>
  <si>
    <t>Cu, Pb, Zn</t>
  </si>
  <si>
    <t>https://lelementarium.fr/element-fiche/thallium/</t>
  </si>
  <si>
    <t>Pb</t>
  </si>
  <si>
    <t>Zn, Cu</t>
  </si>
  <si>
    <t>Bi</t>
  </si>
  <si>
    <t>Pb, W, Cu, Sn, Mo</t>
  </si>
  <si>
    <t>Th</t>
  </si>
  <si>
    <t>Ti, Zr, Sn</t>
  </si>
  <si>
    <t>U</t>
  </si>
  <si>
    <t>Cu, Au</t>
  </si>
  <si>
    <t>https://www.oecd-nea.org/jcms/pl_52718/uranium-2020-resources-production-and-demand?details=true</t>
  </si>
  <si>
    <t>-</t>
  </si>
  <si>
    <t>Reserve from Emsley, John (2003).Nature's building blocks: an A-Z guide to the elements. Oxford University Press.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</si>
</sst>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topLeftCell="O52" zoomScale="88" workbookViewId="0">
      <selection activeCell="T66" sqref="T66"/>
    </sheetView>
  </sheetViews>
  <sheetFormatPr defaultRowHeight="15" x14ac:dyDescent="0.25"/>
  <cols>
    <col min="1" max="1" width="9.28515625" bestFit="1" customWidth="1"/>
    <col min="3" max="3" width="11.140625" bestFit="1" customWidth="1"/>
    <col min="4" max="4" width="13.5703125" bestFit="1" customWidth="1"/>
    <col min="5" max="5" width="15.85546875" bestFit="1" customWidth="1"/>
    <col min="6" max="6" width="15.28515625" bestFit="1" customWidth="1"/>
    <col min="7" max="9" width="13.5703125" bestFit="1" customWidth="1"/>
    <col min="10" max="10" width="24.42578125" bestFit="1" customWidth="1"/>
    <col min="11" max="11" width="28" bestFit="1" customWidth="1"/>
    <col min="12" max="12" width="24.85546875" bestFit="1" customWidth="1"/>
    <col min="13" max="13" width="28.28515625" bestFit="1" customWidth="1"/>
    <col min="14" max="14" width="32" bestFit="1" customWidth="1"/>
    <col min="15" max="15" width="28.5703125" bestFit="1" customWidth="1"/>
    <col min="16" max="16" width="21.7109375" bestFit="1" customWidth="1"/>
    <col min="17" max="17" width="25.42578125" bestFit="1" customWidth="1"/>
    <col min="18" max="18" width="22" bestFit="1" customWidth="1"/>
    <col min="19" max="19" width="17.42578125" bestFit="1" customWidth="1"/>
    <col min="20" max="20" width="15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 t="s">
        <v>23</v>
      </c>
      <c r="C2">
        <v>1</v>
      </c>
      <c r="D2" t="s">
        <v>164</v>
      </c>
      <c r="E2">
        <v>900000000</v>
      </c>
      <c r="G2" t="s">
        <v>164</v>
      </c>
      <c r="H2" t="s">
        <v>164</v>
      </c>
      <c r="I2" t="s">
        <v>164</v>
      </c>
      <c r="J2">
        <v>3.16</v>
      </c>
      <c r="K2">
        <v>3.3250000000000002</v>
      </c>
      <c r="L2">
        <v>3.49</v>
      </c>
      <c r="M2">
        <v>76.400000000000006</v>
      </c>
      <c r="N2">
        <v>80.45</v>
      </c>
      <c r="O2">
        <v>84.5</v>
      </c>
      <c r="P2">
        <v>9</v>
      </c>
      <c r="Q2">
        <v>9</v>
      </c>
      <c r="R2">
        <v>9</v>
      </c>
      <c r="T2">
        <v>0</v>
      </c>
      <c r="V2">
        <v>0</v>
      </c>
    </row>
    <row r="3" spans="1:23" x14ac:dyDescent="0.25">
      <c r="A3">
        <v>2</v>
      </c>
      <c r="B3" t="s">
        <v>24</v>
      </c>
      <c r="C3">
        <v>4</v>
      </c>
      <c r="D3">
        <v>12076</v>
      </c>
      <c r="E3">
        <v>171</v>
      </c>
      <c r="F3">
        <v>70.619883040000005</v>
      </c>
      <c r="G3">
        <v>0.36889983199999998</v>
      </c>
      <c r="H3">
        <v>2.7205263159999999</v>
      </c>
      <c r="I3">
        <v>1.002942102</v>
      </c>
      <c r="J3">
        <v>8450.9</v>
      </c>
      <c r="K3">
        <v>8450.9</v>
      </c>
      <c r="L3">
        <v>8450.9</v>
      </c>
      <c r="M3">
        <v>257</v>
      </c>
      <c r="N3">
        <v>257</v>
      </c>
      <c r="O3">
        <v>257</v>
      </c>
      <c r="P3" t="s">
        <v>78</v>
      </c>
      <c r="Q3" t="s">
        <v>78</v>
      </c>
      <c r="R3" t="s">
        <v>78</v>
      </c>
      <c r="T3">
        <v>0</v>
      </c>
      <c r="V3">
        <v>3</v>
      </c>
    </row>
    <row r="4" spans="1:23" x14ac:dyDescent="0.25">
      <c r="A4">
        <v>3</v>
      </c>
      <c r="B4" t="s">
        <v>25</v>
      </c>
      <c r="C4">
        <v>7</v>
      </c>
      <c r="D4">
        <v>27690000</v>
      </c>
      <c r="E4">
        <v>184680</v>
      </c>
      <c r="F4">
        <v>149.93502269999999</v>
      </c>
      <c r="G4">
        <v>0.3096293</v>
      </c>
      <c r="H4">
        <v>2.9038369070000001</v>
      </c>
      <c r="I4">
        <v>0.85460547200000003</v>
      </c>
      <c r="J4">
        <v>75.599999999999994</v>
      </c>
      <c r="K4">
        <v>79.599999999999994</v>
      </c>
      <c r="L4">
        <v>83.6</v>
      </c>
      <c r="M4">
        <v>1040</v>
      </c>
      <c r="N4">
        <v>1090</v>
      </c>
      <c r="O4">
        <v>1140</v>
      </c>
      <c r="P4">
        <v>451</v>
      </c>
      <c r="Q4">
        <v>474.5</v>
      </c>
      <c r="R4">
        <v>498</v>
      </c>
      <c r="S4">
        <v>12.5</v>
      </c>
      <c r="T4">
        <v>52</v>
      </c>
      <c r="U4" t="s">
        <v>26</v>
      </c>
      <c r="V4">
        <v>3</v>
      </c>
    </row>
    <row r="5" spans="1:23" x14ac:dyDescent="0.25">
      <c r="A5">
        <v>4</v>
      </c>
      <c r="B5" t="s">
        <v>27</v>
      </c>
      <c r="C5">
        <v>9</v>
      </c>
      <c r="D5">
        <v>400000</v>
      </c>
      <c r="E5">
        <v>331</v>
      </c>
      <c r="F5">
        <f>D5/E5</f>
        <v>1208.4592145015106</v>
      </c>
      <c r="G5">
        <v>0.39936656300000001</v>
      </c>
      <c r="H5">
        <v>3.0956797580000002</v>
      </c>
      <c r="I5">
        <v>1.147220361</v>
      </c>
      <c r="J5">
        <v>821</v>
      </c>
      <c r="K5">
        <v>863</v>
      </c>
      <c r="L5">
        <v>905</v>
      </c>
      <c r="M5">
        <v>6080</v>
      </c>
      <c r="N5">
        <v>6390</v>
      </c>
      <c r="O5">
        <v>6700</v>
      </c>
      <c r="P5">
        <v>340</v>
      </c>
      <c r="Q5">
        <v>358</v>
      </c>
      <c r="R5">
        <v>376</v>
      </c>
      <c r="S5">
        <v>32.700000000000003</v>
      </c>
      <c r="T5">
        <v>11</v>
      </c>
      <c r="V5">
        <v>2</v>
      </c>
      <c r="W5" t="s">
        <v>165</v>
      </c>
    </row>
    <row r="6" spans="1:23" x14ac:dyDescent="0.25">
      <c r="A6">
        <v>5</v>
      </c>
      <c r="B6" t="s">
        <v>28</v>
      </c>
      <c r="C6">
        <v>10.81</v>
      </c>
      <c r="D6">
        <v>1097000000</v>
      </c>
      <c r="E6">
        <v>3400000</v>
      </c>
      <c r="F6">
        <v>322.64705880000002</v>
      </c>
      <c r="G6">
        <v>0.441643599</v>
      </c>
      <c r="H6">
        <v>3.4391764710000001</v>
      </c>
      <c r="I6">
        <v>1.563715398</v>
      </c>
      <c r="J6">
        <v>2.64</v>
      </c>
      <c r="K6">
        <v>2.7749999999999999</v>
      </c>
      <c r="L6">
        <v>2.91</v>
      </c>
      <c r="M6">
        <v>48.5</v>
      </c>
      <c r="N6">
        <v>51</v>
      </c>
      <c r="O6">
        <v>53.5</v>
      </c>
      <c r="P6">
        <v>5210</v>
      </c>
      <c r="Q6">
        <v>5485</v>
      </c>
      <c r="R6">
        <v>5760</v>
      </c>
      <c r="S6">
        <v>44.3</v>
      </c>
      <c r="T6">
        <v>0.3</v>
      </c>
      <c r="U6" t="s">
        <v>25</v>
      </c>
      <c r="V6">
        <v>3</v>
      </c>
    </row>
    <row r="7" spans="1:23" x14ac:dyDescent="0.25">
      <c r="A7">
        <v>6</v>
      </c>
      <c r="B7" t="s">
        <v>29</v>
      </c>
      <c r="C7">
        <v>12</v>
      </c>
      <c r="D7">
        <v>263200000</v>
      </c>
      <c r="E7">
        <v>1587650</v>
      </c>
      <c r="F7">
        <v>165.77961139999999</v>
      </c>
      <c r="G7">
        <v>0.61045999299999998</v>
      </c>
      <c r="H7">
        <v>3.6296183040000001</v>
      </c>
      <c r="I7">
        <v>2.2290534439999998</v>
      </c>
      <c r="J7">
        <v>15.7</v>
      </c>
      <c r="K7">
        <v>16.55</v>
      </c>
      <c r="L7">
        <v>17.399999999999999</v>
      </c>
      <c r="M7">
        <v>208</v>
      </c>
      <c r="N7">
        <v>219</v>
      </c>
      <c r="O7">
        <v>230</v>
      </c>
      <c r="P7">
        <v>233</v>
      </c>
      <c r="Q7">
        <v>262</v>
      </c>
      <c r="R7">
        <v>291</v>
      </c>
      <c r="S7">
        <v>137</v>
      </c>
      <c r="T7">
        <v>0</v>
      </c>
      <c r="V7">
        <v>1</v>
      </c>
    </row>
    <row r="8" spans="1:23" x14ac:dyDescent="0.25">
      <c r="A8">
        <v>7</v>
      </c>
      <c r="B8" t="s">
        <v>30</v>
      </c>
      <c r="C8">
        <v>14</v>
      </c>
      <c r="D8" t="s">
        <v>164</v>
      </c>
      <c r="E8">
        <v>129000000</v>
      </c>
      <c r="G8">
        <v>0.15040000000000001</v>
      </c>
      <c r="H8">
        <v>3.2565590910000002</v>
      </c>
      <c r="I8">
        <v>0.51578340899999997</v>
      </c>
      <c r="J8">
        <v>0.30399999999999999</v>
      </c>
      <c r="K8">
        <v>0.31950000000000001</v>
      </c>
      <c r="L8">
        <v>0.33500000000000002</v>
      </c>
      <c r="M8">
        <v>5.69</v>
      </c>
      <c r="N8">
        <v>5.9850000000000003</v>
      </c>
      <c r="O8">
        <v>6.28</v>
      </c>
      <c r="P8" t="s">
        <v>78</v>
      </c>
      <c r="Q8" t="s">
        <v>78</v>
      </c>
      <c r="R8" t="s">
        <v>78</v>
      </c>
      <c r="T8">
        <v>0</v>
      </c>
      <c r="V8">
        <v>0</v>
      </c>
    </row>
    <row r="9" spans="1:23" x14ac:dyDescent="0.25">
      <c r="A9">
        <v>8</v>
      </c>
      <c r="B9" t="s">
        <v>31</v>
      </c>
      <c r="C9">
        <v>16</v>
      </c>
      <c r="D9" t="s">
        <v>164</v>
      </c>
      <c r="E9">
        <v>440000000</v>
      </c>
      <c r="G9" t="s">
        <v>164</v>
      </c>
      <c r="H9" t="s">
        <v>164</v>
      </c>
      <c r="I9" t="s">
        <v>164</v>
      </c>
      <c r="J9">
        <v>0.75700000000000001</v>
      </c>
      <c r="K9">
        <v>0.79649999999999999</v>
      </c>
      <c r="L9">
        <v>0.83599999999999997</v>
      </c>
      <c r="M9">
        <v>14.2</v>
      </c>
      <c r="N9">
        <v>14.95</v>
      </c>
      <c r="O9">
        <v>15.7</v>
      </c>
      <c r="P9">
        <v>1.125</v>
      </c>
      <c r="Q9">
        <v>1.125</v>
      </c>
      <c r="R9">
        <v>1.125</v>
      </c>
      <c r="T9">
        <v>0</v>
      </c>
      <c r="V9">
        <v>0</v>
      </c>
    </row>
    <row r="10" spans="1:23" x14ac:dyDescent="0.25">
      <c r="A10">
        <v>9</v>
      </c>
      <c r="B10" t="s">
        <v>32</v>
      </c>
      <c r="C10">
        <v>19</v>
      </c>
      <c r="D10">
        <v>136276000</v>
      </c>
      <c r="E10">
        <v>17000</v>
      </c>
      <c r="F10">
        <v>8016.2352940000001</v>
      </c>
      <c r="G10">
        <v>0.58819999999999995</v>
      </c>
      <c r="H10">
        <v>3.2199045449999999</v>
      </c>
      <c r="I10">
        <v>1.9548362269999999</v>
      </c>
      <c r="J10">
        <v>9.68</v>
      </c>
      <c r="K10">
        <v>10.19</v>
      </c>
      <c r="L10">
        <v>10.7</v>
      </c>
      <c r="M10">
        <v>177</v>
      </c>
      <c r="N10">
        <v>186.5</v>
      </c>
      <c r="O10">
        <v>196</v>
      </c>
      <c r="P10">
        <v>407</v>
      </c>
      <c r="Q10">
        <v>407</v>
      </c>
      <c r="R10">
        <v>407</v>
      </c>
      <c r="T10">
        <v>0</v>
      </c>
      <c r="V10">
        <v>4</v>
      </c>
      <c r="W10" t="s">
        <v>33</v>
      </c>
    </row>
    <row r="11" spans="1:23" x14ac:dyDescent="0.25">
      <c r="A11">
        <v>10</v>
      </c>
      <c r="B11" t="s">
        <v>34</v>
      </c>
      <c r="C11">
        <v>20.2</v>
      </c>
      <c r="D11" t="s">
        <v>164</v>
      </c>
      <c r="E11">
        <v>1</v>
      </c>
      <c r="G11" t="s">
        <v>164</v>
      </c>
      <c r="H11" t="s">
        <v>164</v>
      </c>
      <c r="I11" t="s">
        <v>164</v>
      </c>
      <c r="J11">
        <v>118.24164</v>
      </c>
      <c r="K11">
        <v>6105.5683200000003</v>
      </c>
      <c r="L11">
        <v>12092.895</v>
      </c>
      <c r="M11">
        <v>35830.800000000003</v>
      </c>
      <c r="N11">
        <v>35830.800000000003</v>
      </c>
      <c r="O11">
        <v>35830.800000000003</v>
      </c>
      <c r="P11" t="s">
        <v>78</v>
      </c>
      <c r="Q11" t="s">
        <v>78</v>
      </c>
      <c r="R11" t="s">
        <v>78</v>
      </c>
      <c r="T11">
        <v>0</v>
      </c>
      <c r="V11">
        <v>0</v>
      </c>
      <c r="W11" t="s">
        <v>35</v>
      </c>
    </row>
    <row r="12" spans="1:23" x14ac:dyDescent="0.25">
      <c r="A12">
        <v>11</v>
      </c>
      <c r="B12" t="s">
        <v>36</v>
      </c>
      <c r="C12">
        <v>23</v>
      </c>
      <c r="D12">
        <v>10845000000</v>
      </c>
      <c r="E12">
        <v>51660000</v>
      </c>
      <c r="F12">
        <v>209.93031360000001</v>
      </c>
      <c r="G12">
        <v>0.59627858</v>
      </c>
      <c r="H12">
        <v>2.929490902</v>
      </c>
      <c r="I12">
        <v>1.663264101</v>
      </c>
      <c r="J12">
        <v>1.92</v>
      </c>
      <c r="K12">
        <v>2.02</v>
      </c>
      <c r="L12">
        <v>2.12</v>
      </c>
      <c r="M12">
        <v>95.9</v>
      </c>
      <c r="N12">
        <v>100.95</v>
      </c>
      <c r="O12">
        <v>106</v>
      </c>
      <c r="P12" t="s">
        <v>78</v>
      </c>
      <c r="Q12" t="s">
        <v>78</v>
      </c>
      <c r="R12" t="s">
        <v>78</v>
      </c>
      <c r="T12">
        <v>0</v>
      </c>
      <c r="V12">
        <v>3</v>
      </c>
      <c r="W12" t="s">
        <v>37</v>
      </c>
    </row>
    <row r="13" spans="1:23" x14ac:dyDescent="0.25">
      <c r="A13">
        <v>12</v>
      </c>
      <c r="B13" t="s">
        <v>38</v>
      </c>
      <c r="C13">
        <v>24.3</v>
      </c>
      <c r="D13">
        <v>2059000000</v>
      </c>
      <c r="E13">
        <v>939000</v>
      </c>
      <c r="F13">
        <v>2192.758253</v>
      </c>
      <c r="G13">
        <v>0.78385679799999997</v>
      </c>
      <c r="H13">
        <v>3.5937167200000002</v>
      </c>
      <c r="I13">
        <v>2.8597995279999999</v>
      </c>
      <c r="J13">
        <v>22.3</v>
      </c>
      <c r="K13">
        <v>23.45</v>
      </c>
      <c r="L13">
        <v>24.6</v>
      </c>
      <c r="M13">
        <v>365</v>
      </c>
      <c r="N13">
        <v>384.5</v>
      </c>
      <c r="O13">
        <v>404</v>
      </c>
      <c r="P13">
        <v>930</v>
      </c>
      <c r="Q13">
        <v>980</v>
      </c>
      <c r="R13">
        <v>1030</v>
      </c>
      <c r="S13">
        <v>34.200000000000003</v>
      </c>
      <c r="T13">
        <v>5</v>
      </c>
      <c r="U13" t="s">
        <v>26</v>
      </c>
      <c r="V13">
        <v>0</v>
      </c>
      <c r="W13" t="s">
        <v>39</v>
      </c>
    </row>
    <row r="14" spans="1:23" x14ac:dyDescent="0.25">
      <c r="A14">
        <v>13</v>
      </c>
      <c r="B14" t="s">
        <v>40</v>
      </c>
      <c r="C14">
        <v>27</v>
      </c>
      <c r="D14">
        <v>6000000000</v>
      </c>
      <c r="E14">
        <v>69560000</v>
      </c>
      <c r="F14">
        <v>86.256469240000001</v>
      </c>
      <c r="G14">
        <v>0.36938539300000001</v>
      </c>
      <c r="H14">
        <v>3.3311980499999998</v>
      </c>
      <c r="I14">
        <v>1.335626875</v>
      </c>
      <c r="J14">
        <v>12</v>
      </c>
      <c r="K14">
        <v>12.6</v>
      </c>
      <c r="L14">
        <v>13.2</v>
      </c>
      <c r="M14">
        <v>167</v>
      </c>
      <c r="N14">
        <v>176</v>
      </c>
      <c r="O14">
        <v>185</v>
      </c>
      <c r="P14">
        <v>959</v>
      </c>
      <c r="Q14">
        <v>1009.5</v>
      </c>
      <c r="R14">
        <v>1060</v>
      </c>
      <c r="S14">
        <v>57.2</v>
      </c>
      <c r="T14">
        <v>0</v>
      </c>
      <c r="V14">
        <v>0</v>
      </c>
      <c r="W14" t="s">
        <v>41</v>
      </c>
    </row>
    <row r="15" spans="1:23" x14ac:dyDescent="0.25">
      <c r="A15">
        <v>14</v>
      </c>
      <c r="B15" t="s">
        <v>42</v>
      </c>
      <c r="C15">
        <v>28.1</v>
      </c>
      <c r="D15">
        <v>1000000000000</v>
      </c>
      <c r="E15">
        <v>3761000</v>
      </c>
      <c r="F15">
        <v>265886.73229999997</v>
      </c>
      <c r="G15">
        <v>0.642353006</v>
      </c>
      <c r="H15">
        <v>3.468922434</v>
      </c>
      <c r="I15">
        <v>2.339707668</v>
      </c>
      <c r="J15">
        <v>10.4</v>
      </c>
      <c r="K15">
        <v>10.9</v>
      </c>
      <c r="L15">
        <v>11.4</v>
      </c>
      <c r="M15">
        <v>124</v>
      </c>
      <c r="N15">
        <v>130.5</v>
      </c>
      <c r="O15">
        <v>137</v>
      </c>
      <c r="P15">
        <v>23.2</v>
      </c>
      <c r="Q15">
        <v>24.45</v>
      </c>
      <c r="R15">
        <v>25.7</v>
      </c>
      <c r="S15">
        <v>48.9</v>
      </c>
      <c r="T15">
        <v>0</v>
      </c>
      <c r="V15">
        <v>1</v>
      </c>
    </row>
    <row r="16" spans="1:23" x14ac:dyDescent="0.25">
      <c r="A16">
        <v>15</v>
      </c>
      <c r="B16" t="s">
        <v>43</v>
      </c>
      <c r="C16">
        <v>31</v>
      </c>
      <c r="D16">
        <v>32278800000</v>
      </c>
      <c r="E16">
        <v>210120000</v>
      </c>
      <c r="F16">
        <v>153.6207881</v>
      </c>
      <c r="G16">
        <v>0.21299500199999999</v>
      </c>
      <c r="H16">
        <v>3.4219429589999999</v>
      </c>
      <c r="I16">
        <v>0.76887988900000004</v>
      </c>
      <c r="J16">
        <v>12.4</v>
      </c>
      <c r="K16">
        <v>13.1</v>
      </c>
      <c r="L16">
        <v>13.8</v>
      </c>
      <c r="M16">
        <v>224</v>
      </c>
      <c r="N16">
        <v>236</v>
      </c>
      <c r="O16">
        <v>248</v>
      </c>
      <c r="P16">
        <v>167</v>
      </c>
      <c r="Q16">
        <v>167</v>
      </c>
      <c r="R16">
        <v>167</v>
      </c>
      <c r="T16">
        <v>0</v>
      </c>
      <c r="V16">
        <v>4</v>
      </c>
    </row>
    <row r="17" spans="1:23" x14ac:dyDescent="0.25">
      <c r="A17">
        <v>16</v>
      </c>
      <c r="B17" t="s">
        <v>44</v>
      </c>
      <c r="C17">
        <v>32</v>
      </c>
      <c r="D17">
        <v>600000000</v>
      </c>
      <c r="E17">
        <v>82310000</v>
      </c>
      <c r="F17">
        <v>7.2895152469999998</v>
      </c>
      <c r="G17">
        <v>0.102625514</v>
      </c>
      <c r="H17">
        <v>3.0462350759999999</v>
      </c>
      <c r="I17">
        <v>0.33303412999999998</v>
      </c>
      <c r="J17">
        <v>0.19900000000000001</v>
      </c>
      <c r="K17">
        <v>0.20949999999999999</v>
      </c>
      <c r="L17">
        <v>0.22</v>
      </c>
      <c r="M17">
        <v>3.65</v>
      </c>
      <c r="N17">
        <v>3.8450000000000002</v>
      </c>
      <c r="O17">
        <v>4.04</v>
      </c>
      <c r="P17" t="s">
        <v>78</v>
      </c>
      <c r="Q17" t="s">
        <v>78</v>
      </c>
      <c r="R17" t="s">
        <v>78</v>
      </c>
      <c r="T17">
        <v>0</v>
      </c>
      <c r="V17">
        <v>2</v>
      </c>
    </row>
    <row r="18" spans="1:23" x14ac:dyDescent="0.25">
      <c r="A18">
        <v>17</v>
      </c>
      <c r="B18" t="s">
        <v>45</v>
      </c>
      <c r="C18">
        <v>35.5</v>
      </c>
      <c r="D18">
        <v>38222100000</v>
      </c>
      <c r="E18">
        <v>650000000</v>
      </c>
      <c r="F18">
        <v>58.803230769999999</v>
      </c>
      <c r="G18">
        <v>0.51380000000000003</v>
      </c>
      <c r="H18">
        <v>3.2316618180000001</v>
      </c>
      <c r="I18">
        <v>1.7280396360000001</v>
      </c>
      <c r="J18">
        <v>2.9700000000000001E-2</v>
      </c>
      <c r="K18">
        <v>2.2625999999999999</v>
      </c>
      <c r="L18">
        <v>4.4954999999999998</v>
      </c>
      <c r="M18">
        <v>9</v>
      </c>
      <c r="N18">
        <v>11.16</v>
      </c>
      <c r="O18">
        <v>13.32</v>
      </c>
      <c r="P18">
        <v>0.51</v>
      </c>
      <c r="Q18">
        <v>0.51</v>
      </c>
      <c r="R18">
        <v>0.51</v>
      </c>
      <c r="T18">
        <v>0</v>
      </c>
      <c r="V18">
        <v>4</v>
      </c>
      <c r="W18" t="s">
        <v>46</v>
      </c>
    </row>
    <row r="19" spans="1:23" x14ac:dyDescent="0.25">
      <c r="A19">
        <v>18</v>
      </c>
      <c r="B19" t="s">
        <v>47</v>
      </c>
      <c r="C19">
        <v>40</v>
      </c>
      <c r="D19" t="s">
        <v>164</v>
      </c>
      <c r="E19">
        <v>700000</v>
      </c>
      <c r="G19" t="s">
        <v>164</v>
      </c>
      <c r="H19" t="s">
        <v>164</v>
      </c>
      <c r="I19" t="s">
        <v>164</v>
      </c>
      <c r="J19" t="s">
        <v>164</v>
      </c>
      <c r="K19" t="s">
        <v>164</v>
      </c>
      <c r="L19" t="s">
        <v>164</v>
      </c>
      <c r="M19" t="s">
        <v>164</v>
      </c>
      <c r="N19" t="s">
        <v>164</v>
      </c>
      <c r="O19" t="s">
        <v>164</v>
      </c>
      <c r="P19" t="s">
        <v>164</v>
      </c>
      <c r="Q19" t="s">
        <v>164</v>
      </c>
      <c r="R19" t="s">
        <v>164</v>
      </c>
      <c r="S19" t="s">
        <v>164</v>
      </c>
      <c r="T19">
        <v>0</v>
      </c>
      <c r="V19">
        <v>0</v>
      </c>
    </row>
    <row r="20" spans="1:23" x14ac:dyDescent="0.25">
      <c r="A20">
        <v>19</v>
      </c>
      <c r="B20" t="s">
        <v>26</v>
      </c>
      <c r="C20">
        <v>39</v>
      </c>
      <c r="D20">
        <v>2988000000</v>
      </c>
      <c r="E20">
        <v>37500000</v>
      </c>
      <c r="F20">
        <v>79.680000000000007</v>
      </c>
      <c r="G20">
        <v>0.17899999999999999</v>
      </c>
      <c r="H20">
        <v>2.6689409089999998</v>
      </c>
      <c r="I20">
        <v>0.424171409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>
        <v>0</v>
      </c>
      <c r="V20">
        <v>3</v>
      </c>
    </row>
    <row r="21" spans="1:23" x14ac:dyDescent="0.25">
      <c r="A21">
        <v>20</v>
      </c>
      <c r="B21" t="s">
        <v>48</v>
      </c>
      <c r="C21">
        <v>40.1</v>
      </c>
      <c r="D21">
        <v>1000000000000</v>
      </c>
      <c r="E21">
        <v>403760000</v>
      </c>
      <c r="F21">
        <v>2476.7188430000001</v>
      </c>
      <c r="G21">
        <v>0.49891601499999999</v>
      </c>
      <c r="H21">
        <v>3.5117343339999998</v>
      </c>
      <c r="I21">
        <v>1.816821609</v>
      </c>
      <c r="J21">
        <v>8.82</v>
      </c>
      <c r="K21">
        <v>9.27</v>
      </c>
      <c r="L21">
        <v>9.7200000000000006</v>
      </c>
      <c r="M21">
        <v>141</v>
      </c>
      <c r="N21">
        <v>148</v>
      </c>
      <c r="O21">
        <v>155</v>
      </c>
      <c r="P21" t="s">
        <v>164</v>
      </c>
      <c r="Q21" t="s">
        <v>164</v>
      </c>
      <c r="R21" t="s">
        <v>164</v>
      </c>
      <c r="S21" t="s">
        <v>164</v>
      </c>
      <c r="T21">
        <v>0</v>
      </c>
      <c r="V21">
        <v>3</v>
      </c>
    </row>
    <row r="22" spans="1:23" x14ac:dyDescent="0.25">
      <c r="A22">
        <v>21</v>
      </c>
      <c r="B22" t="s">
        <v>49</v>
      </c>
      <c r="C22">
        <v>45</v>
      </c>
      <c r="D22">
        <v>74000</v>
      </c>
      <c r="E22">
        <v>15.15</v>
      </c>
      <c r="F22">
        <v>4884.4884490000004</v>
      </c>
      <c r="G22">
        <v>0.54470694600000003</v>
      </c>
      <c r="H22">
        <v>3.3579867989999999</v>
      </c>
      <c r="I22">
        <v>1.8923134989999999</v>
      </c>
      <c r="J22">
        <v>3110</v>
      </c>
      <c r="K22">
        <v>3270</v>
      </c>
      <c r="L22">
        <v>3430</v>
      </c>
      <c r="M22">
        <v>52200</v>
      </c>
      <c r="N22">
        <v>54850</v>
      </c>
      <c r="O22">
        <v>57500</v>
      </c>
      <c r="P22">
        <v>52.4</v>
      </c>
      <c r="Q22">
        <v>55.15</v>
      </c>
      <c r="R22">
        <v>57.9</v>
      </c>
      <c r="S22">
        <v>93.5</v>
      </c>
      <c r="T22">
        <v>100</v>
      </c>
      <c r="U22" t="s">
        <v>50</v>
      </c>
      <c r="V22">
        <v>1</v>
      </c>
      <c r="W22" t="s">
        <v>51</v>
      </c>
    </row>
    <row r="23" spans="1:23" x14ac:dyDescent="0.25">
      <c r="A23">
        <v>22</v>
      </c>
      <c r="B23" t="s">
        <v>52</v>
      </c>
      <c r="C23">
        <v>48</v>
      </c>
      <c r="D23">
        <v>740000000</v>
      </c>
      <c r="E23">
        <v>180000</v>
      </c>
      <c r="F23">
        <v>4111.1111110000002</v>
      </c>
      <c r="G23">
        <v>0.173536</v>
      </c>
      <c r="H23">
        <v>3.4608219999999998</v>
      </c>
      <c r="I23">
        <v>0.63233200000000001</v>
      </c>
      <c r="J23">
        <v>33.5</v>
      </c>
      <c r="K23">
        <v>35.25</v>
      </c>
      <c r="L23">
        <v>37</v>
      </c>
      <c r="M23">
        <v>558</v>
      </c>
      <c r="N23">
        <v>587</v>
      </c>
      <c r="O23">
        <v>616</v>
      </c>
      <c r="P23">
        <v>110</v>
      </c>
      <c r="Q23">
        <v>110</v>
      </c>
      <c r="R23">
        <v>110</v>
      </c>
      <c r="S23">
        <v>83.8</v>
      </c>
      <c r="T23">
        <v>0</v>
      </c>
      <c r="V23">
        <v>1</v>
      </c>
    </row>
    <row r="24" spans="1:23" x14ac:dyDescent="0.25">
      <c r="A24">
        <v>23</v>
      </c>
      <c r="B24" t="s">
        <v>53</v>
      </c>
      <c r="C24">
        <v>51</v>
      </c>
      <c r="D24">
        <v>18815000</v>
      </c>
      <c r="E24">
        <v>103500</v>
      </c>
      <c r="F24">
        <v>181.7874396</v>
      </c>
      <c r="G24">
        <v>0.48054983800000001</v>
      </c>
      <c r="H24">
        <v>3.4484444440000002</v>
      </c>
      <c r="I24">
        <v>1.7190385029999999</v>
      </c>
      <c r="J24">
        <v>230</v>
      </c>
      <c r="K24">
        <v>242</v>
      </c>
      <c r="L24">
        <v>254</v>
      </c>
      <c r="M24">
        <v>3520</v>
      </c>
      <c r="N24">
        <v>3710</v>
      </c>
      <c r="O24">
        <v>3900</v>
      </c>
      <c r="P24">
        <v>616</v>
      </c>
      <c r="Q24">
        <v>648.5</v>
      </c>
      <c r="R24">
        <v>681</v>
      </c>
      <c r="S24">
        <v>47.8</v>
      </c>
      <c r="T24">
        <v>82</v>
      </c>
      <c r="U24" t="s">
        <v>54</v>
      </c>
      <c r="V24">
        <v>0</v>
      </c>
      <c r="W24" t="s">
        <v>55</v>
      </c>
    </row>
    <row r="25" spans="1:23" x14ac:dyDescent="0.25">
      <c r="A25">
        <v>24</v>
      </c>
      <c r="B25" t="s">
        <v>56</v>
      </c>
      <c r="C25">
        <v>52</v>
      </c>
      <c r="D25">
        <v>166500000</v>
      </c>
      <c r="E25">
        <v>41400000</v>
      </c>
      <c r="F25">
        <v>4.0217391300000003</v>
      </c>
      <c r="G25">
        <v>0.259445961</v>
      </c>
      <c r="H25">
        <v>3.4684848480000001</v>
      </c>
      <c r="I25">
        <v>0.92021366800000004</v>
      </c>
      <c r="J25">
        <v>20.399999999999999</v>
      </c>
      <c r="K25">
        <v>21.45</v>
      </c>
      <c r="L25">
        <v>22.5</v>
      </c>
      <c r="M25">
        <v>469</v>
      </c>
      <c r="N25">
        <v>494</v>
      </c>
      <c r="O25">
        <v>519</v>
      </c>
      <c r="P25">
        <v>451</v>
      </c>
      <c r="Q25">
        <v>474.5</v>
      </c>
      <c r="R25">
        <v>498</v>
      </c>
      <c r="S25">
        <v>72.3</v>
      </c>
      <c r="T25">
        <v>2</v>
      </c>
      <c r="U25" t="s">
        <v>57</v>
      </c>
      <c r="V25">
        <v>3</v>
      </c>
    </row>
    <row r="26" spans="1:23" x14ac:dyDescent="0.25">
      <c r="A26">
        <v>25</v>
      </c>
      <c r="B26" t="s">
        <v>58</v>
      </c>
      <c r="C26">
        <v>55</v>
      </c>
      <c r="D26">
        <v>1908000000</v>
      </c>
      <c r="E26">
        <v>19890000</v>
      </c>
      <c r="F26">
        <v>95.927601809999999</v>
      </c>
      <c r="G26">
        <v>0.21420603699999999</v>
      </c>
      <c r="H26">
        <v>3.3226772250000001</v>
      </c>
      <c r="I26">
        <v>0.72234400399999998</v>
      </c>
      <c r="J26">
        <v>4.63</v>
      </c>
      <c r="K26">
        <v>4.875</v>
      </c>
      <c r="L26">
        <v>5.12</v>
      </c>
      <c r="M26">
        <v>72.5</v>
      </c>
      <c r="N26">
        <v>76.3</v>
      </c>
      <c r="O26">
        <v>80.099999999999994</v>
      </c>
      <c r="P26">
        <v>231</v>
      </c>
      <c r="Q26">
        <v>243.5</v>
      </c>
      <c r="R26">
        <v>256</v>
      </c>
      <c r="S26">
        <v>52.4</v>
      </c>
      <c r="T26">
        <v>3</v>
      </c>
      <c r="U26" t="s">
        <v>59</v>
      </c>
      <c r="V26">
        <v>3</v>
      </c>
    </row>
    <row r="27" spans="1:23" x14ac:dyDescent="0.25">
      <c r="A27">
        <v>26</v>
      </c>
      <c r="B27" t="s">
        <v>59</v>
      </c>
      <c r="C27">
        <v>56</v>
      </c>
      <c r="D27">
        <v>86619000000</v>
      </c>
      <c r="E27">
        <v>1561500000</v>
      </c>
      <c r="F27">
        <v>55.471661859999998</v>
      </c>
      <c r="G27">
        <v>0.20373597399999999</v>
      </c>
      <c r="H27">
        <v>3.0080214249999999</v>
      </c>
      <c r="I27">
        <v>0.57272791599999995</v>
      </c>
      <c r="J27">
        <v>2.14</v>
      </c>
      <c r="K27">
        <v>2.25</v>
      </c>
      <c r="L27">
        <v>2.36</v>
      </c>
      <c r="M27">
        <v>20.2</v>
      </c>
      <c r="N27">
        <v>21.25</v>
      </c>
      <c r="O27">
        <v>22.3</v>
      </c>
      <c r="P27">
        <v>44.9</v>
      </c>
      <c r="Q27">
        <v>47.25</v>
      </c>
      <c r="R27">
        <v>49.6</v>
      </c>
      <c r="S27">
        <v>403</v>
      </c>
      <c r="T27">
        <v>1</v>
      </c>
      <c r="U27" t="s">
        <v>60</v>
      </c>
      <c r="V27">
        <v>2</v>
      </c>
    </row>
    <row r="28" spans="1:23" x14ac:dyDescent="0.25">
      <c r="A28">
        <v>27</v>
      </c>
      <c r="B28" t="s">
        <v>61</v>
      </c>
      <c r="C28">
        <v>58.9</v>
      </c>
      <c r="D28">
        <v>10529000</v>
      </c>
      <c r="E28">
        <v>229300</v>
      </c>
      <c r="F28">
        <v>45.91801134</v>
      </c>
      <c r="G28">
        <v>0.55919730700000003</v>
      </c>
      <c r="H28">
        <v>3.8173484520000001</v>
      </c>
      <c r="I28">
        <v>2.2306255560000001</v>
      </c>
      <c r="J28">
        <v>43</v>
      </c>
      <c r="K28">
        <v>45.3</v>
      </c>
      <c r="L28">
        <v>47.6</v>
      </c>
      <c r="M28">
        <v>2020</v>
      </c>
      <c r="N28">
        <v>2130</v>
      </c>
      <c r="O28">
        <v>2240</v>
      </c>
      <c r="P28">
        <v>553</v>
      </c>
      <c r="Q28">
        <v>582.5</v>
      </c>
      <c r="R28">
        <v>612</v>
      </c>
      <c r="S28">
        <v>88.5</v>
      </c>
      <c r="T28">
        <v>85</v>
      </c>
      <c r="U28" t="s">
        <v>62</v>
      </c>
      <c r="V28">
        <v>3</v>
      </c>
    </row>
    <row r="29" spans="1:23" x14ac:dyDescent="0.25">
      <c r="A29">
        <v>28</v>
      </c>
      <c r="B29" t="s">
        <v>63</v>
      </c>
      <c r="C29">
        <v>58.7</v>
      </c>
      <c r="D29">
        <v>131040000</v>
      </c>
      <c r="E29">
        <v>3566000</v>
      </c>
      <c r="F29">
        <v>36.747055520000004</v>
      </c>
      <c r="G29">
        <v>0.29219141100000001</v>
      </c>
      <c r="H29">
        <v>3.330581757</v>
      </c>
      <c r="I29">
        <v>1.0175521860000001</v>
      </c>
      <c r="J29">
        <v>13.9</v>
      </c>
      <c r="K29">
        <v>14.65</v>
      </c>
      <c r="L29">
        <v>15.4</v>
      </c>
      <c r="M29">
        <v>195</v>
      </c>
      <c r="N29">
        <v>205.5</v>
      </c>
      <c r="O29">
        <v>216</v>
      </c>
      <c r="P29">
        <v>79</v>
      </c>
      <c r="Q29">
        <v>228</v>
      </c>
      <c r="R29">
        <v>377</v>
      </c>
      <c r="S29">
        <v>106</v>
      </c>
      <c r="T29">
        <v>2</v>
      </c>
      <c r="U29" t="s">
        <v>64</v>
      </c>
      <c r="V29">
        <v>2</v>
      </c>
    </row>
    <row r="30" spans="1:23" x14ac:dyDescent="0.25">
      <c r="A30">
        <v>29</v>
      </c>
      <c r="B30" t="s">
        <v>65</v>
      </c>
      <c r="C30">
        <v>63.5</v>
      </c>
      <c r="D30">
        <v>1000600000</v>
      </c>
      <c r="E30">
        <v>21550000</v>
      </c>
      <c r="F30">
        <v>46.431554519999999</v>
      </c>
      <c r="G30">
        <v>0.12015503800000001</v>
      </c>
      <c r="H30">
        <v>3.2893355830000002</v>
      </c>
      <c r="I30">
        <v>0.39161992200000001</v>
      </c>
      <c r="J30">
        <v>4.79</v>
      </c>
      <c r="K30">
        <v>5.04</v>
      </c>
      <c r="L30">
        <v>5.29</v>
      </c>
      <c r="M30">
        <v>72</v>
      </c>
      <c r="N30">
        <v>75.8</v>
      </c>
      <c r="O30">
        <v>79.599999999999994</v>
      </c>
      <c r="P30">
        <v>297</v>
      </c>
      <c r="Q30">
        <v>312.5</v>
      </c>
      <c r="R30">
        <v>328</v>
      </c>
      <c r="S30">
        <v>53.6</v>
      </c>
      <c r="T30">
        <v>9</v>
      </c>
      <c r="U30" t="s">
        <v>66</v>
      </c>
      <c r="V30">
        <v>1</v>
      </c>
    </row>
    <row r="31" spans="1:23" x14ac:dyDescent="0.25">
      <c r="A31">
        <v>30</v>
      </c>
      <c r="B31" t="s">
        <v>67</v>
      </c>
      <c r="C31">
        <v>65.400000000000006</v>
      </c>
      <c r="D31">
        <v>224000000</v>
      </c>
      <c r="E31">
        <v>12180000</v>
      </c>
      <c r="F31">
        <v>18.390804599999999</v>
      </c>
      <c r="G31">
        <v>0.16672868099999999</v>
      </c>
      <c r="H31">
        <v>3.386072548</v>
      </c>
      <c r="I31">
        <v>0.58861740399999996</v>
      </c>
      <c r="J31">
        <v>3.51</v>
      </c>
      <c r="K31">
        <v>3.6949999999999998</v>
      </c>
      <c r="L31">
        <v>3.88</v>
      </c>
      <c r="M31">
        <v>43.3</v>
      </c>
      <c r="N31">
        <v>45.55</v>
      </c>
      <c r="O31">
        <v>47.8</v>
      </c>
      <c r="P31">
        <v>327</v>
      </c>
      <c r="Q31">
        <v>344</v>
      </c>
      <c r="R31">
        <v>361</v>
      </c>
      <c r="S31">
        <v>41.4</v>
      </c>
      <c r="T31">
        <v>10</v>
      </c>
      <c r="U31" t="s">
        <v>68</v>
      </c>
      <c r="V31">
        <v>0</v>
      </c>
    </row>
    <row r="32" spans="1:23" x14ac:dyDescent="0.25">
      <c r="A32">
        <v>31</v>
      </c>
      <c r="B32" t="s">
        <v>69</v>
      </c>
      <c r="C32">
        <v>69.7</v>
      </c>
      <c r="D32">
        <v>1000000</v>
      </c>
      <c r="E32">
        <v>610</v>
      </c>
      <c r="F32">
        <v>1639.3442620000001</v>
      </c>
      <c r="G32">
        <v>0.96758398300000004</v>
      </c>
      <c r="H32">
        <v>3.6379344260000002</v>
      </c>
      <c r="I32">
        <v>3.531602795</v>
      </c>
      <c r="J32">
        <v>163</v>
      </c>
      <c r="K32">
        <v>172</v>
      </c>
      <c r="L32">
        <v>181</v>
      </c>
      <c r="M32">
        <v>2500</v>
      </c>
      <c r="N32">
        <v>2630</v>
      </c>
      <c r="O32">
        <v>2760</v>
      </c>
      <c r="P32">
        <v>3610</v>
      </c>
      <c r="Q32">
        <v>3800</v>
      </c>
      <c r="R32">
        <v>3990</v>
      </c>
      <c r="S32">
        <v>369</v>
      </c>
      <c r="T32">
        <v>100</v>
      </c>
      <c r="U32" t="s">
        <v>40</v>
      </c>
      <c r="V32">
        <v>2</v>
      </c>
    </row>
    <row r="33" spans="1:23" x14ac:dyDescent="0.25">
      <c r="A33">
        <v>32</v>
      </c>
      <c r="B33" t="s">
        <v>70</v>
      </c>
      <c r="C33">
        <v>72.599999999999994</v>
      </c>
      <c r="D33">
        <v>35600</v>
      </c>
      <c r="E33">
        <v>140</v>
      </c>
      <c r="F33">
        <v>254.2857143</v>
      </c>
      <c r="G33">
        <v>0.543367347</v>
      </c>
      <c r="H33">
        <v>3.554025974</v>
      </c>
      <c r="I33">
        <v>1.963726809</v>
      </c>
      <c r="J33">
        <v>942</v>
      </c>
      <c r="K33">
        <v>991</v>
      </c>
      <c r="L33">
        <v>1040</v>
      </c>
      <c r="M33">
        <v>8510</v>
      </c>
      <c r="N33">
        <v>8950</v>
      </c>
      <c r="O33">
        <v>9390</v>
      </c>
      <c r="P33">
        <v>9380</v>
      </c>
      <c r="Q33">
        <v>9890</v>
      </c>
      <c r="R33">
        <v>10400</v>
      </c>
      <c r="S33">
        <v>131</v>
      </c>
      <c r="T33">
        <v>100</v>
      </c>
      <c r="U33" t="s">
        <v>67</v>
      </c>
      <c r="V33">
        <v>2</v>
      </c>
    </row>
    <row r="34" spans="1:23" x14ac:dyDescent="0.25">
      <c r="A34">
        <v>33</v>
      </c>
      <c r="B34" t="s">
        <v>71</v>
      </c>
      <c r="C34">
        <v>75</v>
      </c>
      <c r="D34">
        <v>1200000</v>
      </c>
      <c r="E34">
        <v>60240</v>
      </c>
      <c r="F34">
        <v>19.920318730000002</v>
      </c>
      <c r="G34">
        <v>0.37754074500000001</v>
      </c>
      <c r="H34">
        <v>3.6328286849999998</v>
      </c>
      <c r="I34">
        <v>1.3664729920000001</v>
      </c>
      <c r="J34">
        <v>2.29</v>
      </c>
      <c r="K34">
        <v>2.41</v>
      </c>
      <c r="L34">
        <v>2.5299999999999998</v>
      </c>
      <c r="M34">
        <v>38.5</v>
      </c>
      <c r="N34">
        <v>40.5</v>
      </c>
      <c r="O34">
        <v>42.5</v>
      </c>
      <c r="P34">
        <v>36</v>
      </c>
      <c r="Q34">
        <v>36</v>
      </c>
      <c r="R34">
        <v>36</v>
      </c>
      <c r="S34">
        <v>25.8</v>
      </c>
      <c r="T34">
        <v>92</v>
      </c>
      <c r="U34" t="s">
        <v>72</v>
      </c>
      <c r="V34">
        <v>3</v>
      </c>
    </row>
    <row r="35" spans="1:23" x14ac:dyDescent="0.25">
      <c r="A35">
        <v>34</v>
      </c>
      <c r="B35" t="s">
        <v>73</v>
      </c>
      <c r="C35">
        <v>79</v>
      </c>
      <c r="D35">
        <v>95300</v>
      </c>
      <c r="E35">
        <v>3599</v>
      </c>
      <c r="F35">
        <v>26.47957766</v>
      </c>
      <c r="G35">
        <v>0.243781943</v>
      </c>
      <c r="H35">
        <v>3.2070745660000002</v>
      </c>
      <c r="I35">
        <v>0.84691035400000003</v>
      </c>
      <c r="J35">
        <v>3.27</v>
      </c>
      <c r="K35">
        <v>3.44</v>
      </c>
      <c r="L35">
        <v>3.61</v>
      </c>
      <c r="M35">
        <v>73.400000000000006</v>
      </c>
      <c r="N35">
        <v>77.25</v>
      </c>
      <c r="O35">
        <v>81.099999999999994</v>
      </c>
      <c r="P35">
        <v>25</v>
      </c>
      <c r="Q35">
        <v>26.3</v>
      </c>
      <c r="R35">
        <v>27.6</v>
      </c>
      <c r="S35">
        <v>224</v>
      </c>
      <c r="T35">
        <v>100</v>
      </c>
      <c r="U35" t="s">
        <v>74</v>
      </c>
      <c r="V35">
        <v>3</v>
      </c>
    </row>
    <row r="36" spans="1:23" x14ac:dyDescent="0.25">
      <c r="A36">
        <v>35</v>
      </c>
      <c r="B36" t="s">
        <v>75</v>
      </c>
      <c r="C36">
        <v>79.900000000000006</v>
      </c>
      <c r="D36">
        <v>11430000</v>
      </c>
      <c r="E36">
        <v>400500</v>
      </c>
      <c r="F36">
        <v>28.53932584</v>
      </c>
      <c r="G36">
        <v>0.30928411900000002</v>
      </c>
      <c r="H36">
        <v>2.9427590509999999</v>
      </c>
      <c r="I36">
        <v>0.87390410900000004</v>
      </c>
      <c r="J36" t="s">
        <v>164</v>
      </c>
      <c r="K36" t="s">
        <v>164</v>
      </c>
      <c r="L36" t="s">
        <v>164</v>
      </c>
      <c r="M36" t="s">
        <v>164</v>
      </c>
      <c r="N36" t="s">
        <v>164</v>
      </c>
      <c r="O36" t="s">
        <v>164</v>
      </c>
      <c r="P36" t="s">
        <v>164</v>
      </c>
      <c r="Q36" t="s">
        <v>164</v>
      </c>
      <c r="R36" t="s">
        <v>164</v>
      </c>
      <c r="S36" t="s">
        <v>164</v>
      </c>
      <c r="T36">
        <v>0</v>
      </c>
      <c r="V36">
        <v>3</v>
      </c>
      <c r="W36" t="s">
        <v>76</v>
      </c>
    </row>
    <row r="37" spans="1:23" x14ac:dyDescent="0.25">
      <c r="A37">
        <v>36</v>
      </c>
      <c r="B37" t="s">
        <v>77</v>
      </c>
      <c r="C37">
        <v>83.8</v>
      </c>
      <c r="D37" t="s">
        <v>78</v>
      </c>
      <c r="E37">
        <v>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V37">
        <v>0</v>
      </c>
    </row>
    <row r="38" spans="1:23" x14ac:dyDescent="0.25">
      <c r="A38">
        <v>37</v>
      </c>
      <c r="B38" t="s">
        <v>79</v>
      </c>
      <c r="C38">
        <v>85.5</v>
      </c>
      <c r="D38">
        <v>81900</v>
      </c>
      <c r="E38">
        <v>6.65</v>
      </c>
      <c r="F38">
        <v>12315.78947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>
        <v>100</v>
      </c>
      <c r="V38">
        <v>3</v>
      </c>
      <c r="W38" t="s">
        <v>80</v>
      </c>
    </row>
    <row r="39" spans="1:23" x14ac:dyDescent="0.25">
      <c r="A39">
        <v>38</v>
      </c>
      <c r="B39" t="s">
        <v>81</v>
      </c>
      <c r="C39">
        <v>87.6</v>
      </c>
      <c r="D39">
        <v>19100000</v>
      </c>
      <c r="E39">
        <v>515700</v>
      </c>
      <c r="F39">
        <v>37.037037040000001</v>
      </c>
      <c r="G39">
        <v>0.32948541599999998</v>
      </c>
      <c r="H39">
        <v>3.3864378510000002</v>
      </c>
      <c r="I39">
        <v>1.0979350029999999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>
        <v>11.1</v>
      </c>
      <c r="T39">
        <v>0</v>
      </c>
      <c r="V39">
        <v>2</v>
      </c>
    </row>
    <row r="40" spans="1:23" x14ac:dyDescent="0.25">
      <c r="A40">
        <v>39</v>
      </c>
      <c r="B40" t="s">
        <v>82</v>
      </c>
      <c r="C40">
        <v>89</v>
      </c>
      <c r="D40">
        <v>500000</v>
      </c>
      <c r="E40">
        <v>5413</v>
      </c>
      <c r="F40">
        <v>92.370219840000004</v>
      </c>
      <c r="G40">
        <v>0.74560000000000004</v>
      </c>
      <c r="H40">
        <v>3.5405636359999999</v>
      </c>
      <c r="I40">
        <v>2.716502545</v>
      </c>
      <c r="J40">
        <v>84.8</v>
      </c>
      <c r="K40">
        <v>89.15</v>
      </c>
      <c r="L40">
        <v>93.5</v>
      </c>
      <c r="M40">
        <v>1400</v>
      </c>
      <c r="N40">
        <v>1470</v>
      </c>
      <c r="O40">
        <v>1540</v>
      </c>
      <c r="P40">
        <v>52.4</v>
      </c>
      <c r="Q40">
        <v>55.15</v>
      </c>
      <c r="R40">
        <v>57.9</v>
      </c>
      <c r="S40">
        <v>205</v>
      </c>
      <c r="T40">
        <v>29</v>
      </c>
      <c r="U40" t="s">
        <v>83</v>
      </c>
      <c r="V40">
        <v>3</v>
      </c>
    </row>
    <row r="41" spans="1:23" x14ac:dyDescent="0.25">
      <c r="A41">
        <v>40</v>
      </c>
      <c r="B41" t="s">
        <v>84</v>
      </c>
      <c r="C41">
        <v>91.2</v>
      </c>
      <c r="D41">
        <v>73580000</v>
      </c>
      <c r="E41">
        <v>1600000</v>
      </c>
      <c r="F41">
        <v>45.987499999999997</v>
      </c>
      <c r="G41">
        <v>0.18773437500000001</v>
      </c>
      <c r="H41">
        <v>3.226982955</v>
      </c>
      <c r="I41">
        <v>0.57147194599999995</v>
      </c>
      <c r="J41">
        <v>97.9</v>
      </c>
      <c r="K41">
        <v>102.95</v>
      </c>
      <c r="L41">
        <v>108</v>
      </c>
      <c r="M41">
        <v>1530</v>
      </c>
      <c r="N41">
        <v>1610</v>
      </c>
      <c r="O41">
        <v>1690</v>
      </c>
      <c r="P41">
        <v>262</v>
      </c>
      <c r="Q41">
        <v>275.5</v>
      </c>
      <c r="R41">
        <v>289</v>
      </c>
      <c r="S41">
        <v>33.5</v>
      </c>
      <c r="T41">
        <v>100</v>
      </c>
      <c r="U41" t="s">
        <v>52</v>
      </c>
      <c r="V41">
        <v>0</v>
      </c>
    </row>
    <row r="42" spans="1:23" x14ac:dyDescent="0.25">
      <c r="A42">
        <v>41</v>
      </c>
      <c r="B42" t="s">
        <v>85</v>
      </c>
      <c r="C42">
        <v>93</v>
      </c>
      <c r="D42">
        <v>17810000</v>
      </c>
      <c r="E42">
        <v>83320</v>
      </c>
      <c r="F42">
        <v>213.75420070000001</v>
      </c>
      <c r="G42">
        <v>0.81739585299999995</v>
      </c>
      <c r="H42">
        <v>3.1012711670000002</v>
      </c>
      <c r="I42">
        <v>2.636454611</v>
      </c>
      <c r="J42">
        <v>117</v>
      </c>
      <c r="K42">
        <v>123</v>
      </c>
      <c r="L42">
        <v>129</v>
      </c>
      <c r="M42">
        <v>1760</v>
      </c>
      <c r="N42">
        <v>1850</v>
      </c>
      <c r="O42">
        <v>1940</v>
      </c>
      <c r="P42">
        <v>147</v>
      </c>
      <c r="Q42">
        <v>154.5</v>
      </c>
      <c r="R42">
        <v>162</v>
      </c>
      <c r="S42">
        <v>18.3</v>
      </c>
      <c r="T42">
        <v>2</v>
      </c>
      <c r="U42" t="s">
        <v>86</v>
      </c>
      <c r="V42">
        <v>4</v>
      </c>
    </row>
    <row r="43" spans="1:23" x14ac:dyDescent="0.25">
      <c r="A43">
        <v>42</v>
      </c>
      <c r="B43" t="s">
        <v>87</v>
      </c>
      <c r="C43">
        <v>96</v>
      </c>
      <c r="D43">
        <v>14566000</v>
      </c>
      <c r="E43">
        <v>262600</v>
      </c>
      <c r="F43">
        <v>55.468392989999998</v>
      </c>
      <c r="G43">
        <v>0.247362627</v>
      </c>
      <c r="H43">
        <v>3.3794059409999999</v>
      </c>
      <c r="I43">
        <v>0.86389660099999999</v>
      </c>
      <c r="J43">
        <v>15.8</v>
      </c>
      <c r="K43">
        <v>16.600000000000001</v>
      </c>
      <c r="L43">
        <v>17.399999999999999</v>
      </c>
      <c r="M43">
        <v>147</v>
      </c>
      <c r="N43">
        <v>155</v>
      </c>
      <c r="O43">
        <v>163</v>
      </c>
      <c r="P43">
        <v>341</v>
      </c>
      <c r="Q43">
        <v>359</v>
      </c>
      <c r="R43">
        <v>377</v>
      </c>
      <c r="S43">
        <v>89.9</v>
      </c>
      <c r="T43">
        <v>46</v>
      </c>
      <c r="U43" t="s">
        <v>65</v>
      </c>
      <c r="V43">
        <v>2</v>
      </c>
    </row>
    <row r="44" spans="1:23" x14ac:dyDescent="0.25">
      <c r="A44">
        <v>43</v>
      </c>
      <c r="B44" t="s">
        <v>88</v>
      </c>
      <c r="C44">
        <v>97.9</v>
      </c>
      <c r="D44" t="s">
        <v>78</v>
      </c>
      <c r="E44">
        <v>10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V44">
        <v>0</v>
      </c>
    </row>
    <row r="45" spans="1:23" x14ac:dyDescent="0.25">
      <c r="A45">
        <v>44</v>
      </c>
      <c r="B45" t="s">
        <v>89</v>
      </c>
      <c r="C45">
        <v>101</v>
      </c>
      <c r="D45">
        <v>5500</v>
      </c>
      <c r="E45">
        <v>56.38</v>
      </c>
      <c r="F45">
        <v>97.552323520000002</v>
      </c>
      <c r="G45">
        <v>0.92967838800000002</v>
      </c>
      <c r="H45">
        <v>3.5514912550000002</v>
      </c>
      <c r="I45">
        <v>3.327723808</v>
      </c>
      <c r="J45">
        <v>1670</v>
      </c>
      <c r="K45">
        <v>1755</v>
      </c>
      <c r="L45">
        <v>1840</v>
      </c>
      <c r="M45">
        <v>23200</v>
      </c>
      <c r="N45">
        <v>24400</v>
      </c>
      <c r="O45">
        <v>25600</v>
      </c>
      <c r="P45">
        <v>186000</v>
      </c>
      <c r="Q45">
        <v>196000</v>
      </c>
      <c r="R45">
        <v>206000</v>
      </c>
      <c r="S45">
        <v>325</v>
      </c>
      <c r="T45">
        <v>100</v>
      </c>
      <c r="U45" t="s">
        <v>90</v>
      </c>
      <c r="V45">
        <v>3</v>
      </c>
    </row>
    <row r="46" spans="1:23" x14ac:dyDescent="0.25">
      <c r="A46">
        <v>45</v>
      </c>
      <c r="B46" t="s">
        <v>91</v>
      </c>
      <c r="C46">
        <v>103</v>
      </c>
      <c r="D46">
        <v>730</v>
      </c>
      <c r="E46">
        <v>23.4</v>
      </c>
      <c r="F46">
        <v>31.196581200000001</v>
      </c>
      <c r="G46">
        <v>0.713924275</v>
      </c>
      <c r="H46">
        <v>3.406082606</v>
      </c>
      <c r="I46">
        <v>2.540023503</v>
      </c>
      <c r="J46">
        <v>50900</v>
      </c>
      <c r="K46">
        <v>53600</v>
      </c>
      <c r="L46">
        <v>56300</v>
      </c>
      <c r="M46">
        <v>1240000</v>
      </c>
      <c r="N46">
        <v>1310000</v>
      </c>
      <c r="O46">
        <v>1380000</v>
      </c>
      <c r="P46">
        <v>186000</v>
      </c>
      <c r="Q46">
        <v>196000</v>
      </c>
      <c r="R46">
        <v>206000</v>
      </c>
      <c r="S46">
        <v>209</v>
      </c>
      <c r="T46">
        <v>100</v>
      </c>
      <c r="U46" t="s">
        <v>90</v>
      </c>
      <c r="V46">
        <v>3</v>
      </c>
    </row>
    <row r="47" spans="1:23" x14ac:dyDescent="0.25">
      <c r="A47">
        <v>46</v>
      </c>
      <c r="B47" t="s">
        <v>92</v>
      </c>
      <c r="C47">
        <v>106.4</v>
      </c>
      <c r="D47">
        <v>28000</v>
      </c>
      <c r="E47">
        <v>206.5</v>
      </c>
      <c r="F47">
        <v>135.59322030000001</v>
      </c>
      <c r="G47">
        <v>0.33040775300000003</v>
      </c>
      <c r="H47">
        <v>3.0603924720000002</v>
      </c>
      <c r="I47">
        <v>1.010941037</v>
      </c>
      <c r="J47">
        <v>7220</v>
      </c>
      <c r="K47">
        <v>7600</v>
      </c>
      <c r="L47">
        <v>7980</v>
      </c>
      <c r="M47">
        <v>175000</v>
      </c>
      <c r="N47">
        <v>184000</v>
      </c>
      <c r="O47">
        <v>193000</v>
      </c>
      <c r="P47">
        <v>186000</v>
      </c>
      <c r="Q47">
        <v>196000</v>
      </c>
      <c r="R47">
        <v>206000</v>
      </c>
      <c r="S47">
        <v>106</v>
      </c>
      <c r="T47">
        <v>97</v>
      </c>
      <c r="U47" t="s">
        <v>93</v>
      </c>
      <c r="V47">
        <v>1</v>
      </c>
    </row>
    <row r="48" spans="1:23" x14ac:dyDescent="0.25">
      <c r="A48">
        <v>47</v>
      </c>
      <c r="B48" t="s">
        <v>94</v>
      </c>
      <c r="C48">
        <v>108</v>
      </c>
      <c r="D48">
        <v>610500</v>
      </c>
      <c r="E48">
        <v>25790</v>
      </c>
      <c r="F48">
        <v>23.671965879999998</v>
      </c>
      <c r="G48">
        <v>0.123863051</v>
      </c>
      <c r="H48">
        <v>3.4059973920000002</v>
      </c>
      <c r="I48">
        <v>0.444929089</v>
      </c>
      <c r="J48">
        <v>435</v>
      </c>
      <c r="K48">
        <v>458</v>
      </c>
      <c r="L48">
        <v>481</v>
      </c>
      <c r="M48">
        <v>6660</v>
      </c>
      <c r="N48">
        <v>7010</v>
      </c>
      <c r="O48">
        <v>7360</v>
      </c>
      <c r="P48">
        <v>72500</v>
      </c>
      <c r="Q48">
        <v>76350</v>
      </c>
      <c r="R48">
        <v>80200</v>
      </c>
      <c r="S48">
        <v>169</v>
      </c>
      <c r="T48">
        <v>71</v>
      </c>
      <c r="U48" t="s">
        <v>95</v>
      </c>
      <c r="V48">
        <v>1</v>
      </c>
    </row>
    <row r="49" spans="1:22" x14ac:dyDescent="0.25">
      <c r="A49">
        <v>48</v>
      </c>
      <c r="B49" t="s">
        <v>96</v>
      </c>
      <c r="C49">
        <v>112.4</v>
      </c>
      <c r="D49">
        <v>690000</v>
      </c>
      <c r="E49">
        <v>23010</v>
      </c>
      <c r="F49">
        <v>29.98696219</v>
      </c>
      <c r="G49">
        <v>0.204794847</v>
      </c>
      <c r="H49">
        <v>3.1845675789999999</v>
      </c>
      <c r="I49">
        <v>0.70441882</v>
      </c>
      <c r="J49">
        <v>5.15</v>
      </c>
      <c r="K49">
        <v>5.42</v>
      </c>
      <c r="L49">
        <v>5.69</v>
      </c>
      <c r="M49">
        <v>86.9</v>
      </c>
      <c r="N49">
        <v>91.5</v>
      </c>
      <c r="O49">
        <v>96.1</v>
      </c>
      <c r="P49">
        <v>777</v>
      </c>
      <c r="Q49">
        <v>817.5</v>
      </c>
      <c r="R49">
        <v>858</v>
      </c>
      <c r="S49">
        <v>202</v>
      </c>
      <c r="T49">
        <v>100</v>
      </c>
      <c r="U49" t="s">
        <v>67</v>
      </c>
      <c r="V49">
        <v>3</v>
      </c>
    </row>
    <row r="50" spans="1:22" x14ac:dyDescent="0.25">
      <c r="A50">
        <v>49</v>
      </c>
      <c r="B50" t="s">
        <v>97</v>
      </c>
      <c r="C50">
        <v>114.8</v>
      </c>
      <c r="D50">
        <v>380000</v>
      </c>
      <c r="E50">
        <v>987</v>
      </c>
      <c r="F50">
        <v>385.00506589999998</v>
      </c>
      <c r="G50">
        <v>0.480880627</v>
      </c>
      <c r="H50">
        <v>3.356261398</v>
      </c>
      <c r="I50">
        <v>1.7175200909999999</v>
      </c>
      <c r="J50">
        <v>110</v>
      </c>
      <c r="K50">
        <v>116</v>
      </c>
      <c r="L50">
        <v>122</v>
      </c>
      <c r="M50">
        <v>2490</v>
      </c>
      <c r="N50">
        <v>2625</v>
      </c>
      <c r="O50">
        <v>2760</v>
      </c>
      <c r="P50">
        <v>1280</v>
      </c>
      <c r="Q50">
        <v>1345</v>
      </c>
      <c r="R50">
        <v>1410</v>
      </c>
      <c r="S50">
        <v>65.8</v>
      </c>
      <c r="T50">
        <v>100</v>
      </c>
      <c r="U50" t="s">
        <v>98</v>
      </c>
      <c r="V50">
        <v>3</v>
      </c>
    </row>
    <row r="51" spans="1:22" x14ac:dyDescent="0.25">
      <c r="A51">
        <v>50</v>
      </c>
      <c r="B51" t="s">
        <v>99</v>
      </c>
      <c r="C51">
        <v>118.7</v>
      </c>
      <c r="D51">
        <v>4271000</v>
      </c>
      <c r="E51">
        <v>290700</v>
      </c>
      <c r="F51">
        <v>14.69212246</v>
      </c>
      <c r="G51">
        <v>0.14229001799999999</v>
      </c>
      <c r="H51">
        <v>3.5885356659999998</v>
      </c>
      <c r="I51">
        <v>0.51821715599999996</v>
      </c>
      <c r="J51">
        <v>11.8</v>
      </c>
      <c r="K51">
        <v>12.45</v>
      </c>
      <c r="L51">
        <v>13.1</v>
      </c>
      <c r="M51">
        <v>165</v>
      </c>
      <c r="N51">
        <v>173.5</v>
      </c>
      <c r="O51">
        <v>182</v>
      </c>
      <c r="P51">
        <v>9630</v>
      </c>
      <c r="Q51">
        <v>10115</v>
      </c>
      <c r="R51">
        <v>10600</v>
      </c>
      <c r="S51">
        <v>98.4</v>
      </c>
      <c r="T51">
        <v>3</v>
      </c>
      <c r="U51" t="s">
        <v>100</v>
      </c>
      <c r="V51">
        <v>1</v>
      </c>
    </row>
    <row r="52" spans="1:22" x14ac:dyDescent="0.25">
      <c r="A52">
        <v>51</v>
      </c>
      <c r="B52" t="s">
        <v>101</v>
      </c>
      <c r="C52">
        <v>121.8</v>
      </c>
      <c r="D52">
        <v>2000000</v>
      </c>
      <c r="E52">
        <v>110552</v>
      </c>
      <c r="F52">
        <v>18.09103408</v>
      </c>
      <c r="G52">
        <v>0.35427440300000002</v>
      </c>
      <c r="H52">
        <v>3.5020696139999998</v>
      </c>
      <c r="I52">
        <v>1.2705746570000001</v>
      </c>
      <c r="J52">
        <v>22</v>
      </c>
      <c r="K52">
        <v>23.2</v>
      </c>
      <c r="L52">
        <v>24.4</v>
      </c>
      <c r="M52">
        <v>287</v>
      </c>
      <c r="N52">
        <v>302</v>
      </c>
      <c r="O52">
        <v>317</v>
      </c>
      <c r="P52">
        <v>3210</v>
      </c>
      <c r="Q52">
        <v>3380</v>
      </c>
      <c r="R52">
        <v>3550</v>
      </c>
      <c r="S52">
        <v>338</v>
      </c>
      <c r="T52">
        <v>80</v>
      </c>
      <c r="U52" t="s">
        <v>102</v>
      </c>
      <c r="V52">
        <v>2</v>
      </c>
    </row>
    <row r="53" spans="1:22" x14ac:dyDescent="0.25">
      <c r="A53">
        <v>52</v>
      </c>
      <c r="B53" t="s">
        <v>103</v>
      </c>
      <c r="C53">
        <v>127.6</v>
      </c>
      <c r="D53">
        <v>36200</v>
      </c>
      <c r="E53">
        <v>643</v>
      </c>
      <c r="F53">
        <v>56.298600309999998</v>
      </c>
      <c r="G53">
        <v>0.477802583</v>
      </c>
      <c r="H53">
        <v>3.3390668739999998</v>
      </c>
      <c r="I53">
        <v>1.719432772</v>
      </c>
      <c r="J53">
        <v>6.86</v>
      </c>
      <c r="K53">
        <v>7.22</v>
      </c>
      <c r="L53">
        <v>7.58</v>
      </c>
      <c r="M53">
        <v>122</v>
      </c>
      <c r="N53">
        <v>128</v>
      </c>
      <c r="O53">
        <v>134</v>
      </c>
      <c r="P53">
        <v>24.3</v>
      </c>
      <c r="Q53">
        <v>25.55</v>
      </c>
      <c r="R53">
        <v>26.8</v>
      </c>
      <c r="S53">
        <v>353</v>
      </c>
      <c r="T53">
        <v>100</v>
      </c>
      <c r="U53" t="s">
        <v>104</v>
      </c>
      <c r="V53">
        <v>3</v>
      </c>
    </row>
    <row r="54" spans="1:22" x14ac:dyDescent="0.25">
      <c r="A54">
        <v>53</v>
      </c>
      <c r="B54" t="s">
        <v>105</v>
      </c>
      <c r="C54">
        <v>127</v>
      </c>
      <c r="D54">
        <v>6160000</v>
      </c>
      <c r="E54">
        <v>29733</v>
      </c>
      <c r="F54">
        <v>207.1772105</v>
      </c>
      <c r="G54">
        <v>0.50129547299999999</v>
      </c>
      <c r="H54">
        <v>3.0612655969999998</v>
      </c>
      <c r="I54">
        <v>1.493834691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>
        <v>0</v>
      </c>
      <c r="V54">
        <v>3</v>
      </c>
    </row>
    <row r="55" spans="1:22" x14ac:dyDescent="0.25">
      <c r="A55">
        <v>54</v>
      </c>
      <c r="B55" t="s">
        <v>106</v>
      </c>
      <c r="C55">
        <v>131.30000000000001</v>
      </c>
      <c r="D55" t="s">
        <v>78</v>
      </c>
      <c r="E55">
        <v>0.6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V55">
        <v>0</v>
      </c>
    </row>
    <row r="56" spans="1:22" x14ac:dyDescent="0.25">
      <c r="A56">
        <v>55</v>
      </c>
      <c r="B56" t="s">
        <v>107</v>
      </c>
      <c r="C56">
        <v>132.9</v>
      </c>
      <c r="D56">
        <v>188000</v>
      </c>
      <c r="E56">
        <v>5</v>
      </c>
      <c r="F56">
        <v>37600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>
        <v>15.7</v>
      </c>
      <c r="T56" t="s">
        <v>78</v>
      </c>
      <c r="V56">
        <v>3</v>
      </c>
    </row>
    <row r="57" spans="1:22" x14ac:dyDescent="0.25">
      <c r="A57">
        <v>56</v>
      </c>
      <c r="B57" t="s">
        <v>108</v>
      </c>
      <c r="C57">
        <v>137.30000000000001</v>
      </c>
      <c r="D57">
        <v>278000000</v>
      </c>
      <c r="E57">
        <v>8050000</v>
      </c>
      <c r="F57">
        <v>34.534161490000002</v>
      </c>
      <c r="G57">
        <v>0.1842</v>
      </c>
      <c r="H57">
        <v>3.5814045449999998</v>
      </c>
      <c r="I57">
        <v>0.66753422699999998</v>
      </c>
      <c r="P57">
        <v>49</v>
      </c>
      <c r="Q57">
        <v>49</v>
      </c>
      <c r="R57">
        <v>49</v>
      </c>
      <c r="S57">
        <v>140</v>
      </c>
      <c r="T57">
        <v>2</v>
      </c>
      <c r="U57" t="s">
        <v>109</v>
      </c>
      <c r="V57">
        <v>1</v>
      </c>
    </row>
    <row r="58" spans="1:22" x14ac:dyDescent="0.25">
      <c r="A58">
        <v>57</v>
      </c>
      <c r="B58" t="s">
        <v>110</v>
      </c>
      <c r="C58">
        <v>138.9</v>
      </c>
      <c r="D58">
        <v>6000000</v>
      </c>
      <c r="E58">
        <v>54500</v>
      </c>
      <c r="F58">
        <v>110.0917431</v>
      </c>
      <c r="G58">
        <v>0.39800000000000002</v>
      </c>
      <c r="H58">
        <v>3.4408409089999998</v>
      </c>
      <c r="I58">
        <v>1.4303044090000001</v>
      </c>
      <c r="J58">
        <v>16.7</v>
      </c>
      <c r="K58">
        <v>17.55</v>
      </c>
      <c r="L58">
        <v>18.399999999999999</v>
      </c>
      <c r="M58">
        <v>258</v>
      </c>
      <c r="N58">
        <v>271</v>
      </c>
      <c r="O58">
        <v>284</v>
      </c>
      <c r="P58">
        <v>52.7</v>
      </c>
      <c r="Q58">
        <v>55.45</v>
      </c>
      <c r="R58">
        <v>58.2</v>
      </c>
      <c r="S58">
        <v>514</v>
      </c>
      <c r="T58">
        <v>93</v>
      </c>
      <c r="U58" t="s">
        <v>111</v>
      </c>
      <c r="V58">
        <v>0</v>
      </c>
    </row>
    <row r="59" spans="1:22" x14ac:dyDescent="0.25">
      <c r="A59">
        <v>58</v>
      </c>
      <c r="B59" t="s">
        <v>112</v>
      </c>
      <c r="C59">
        <v>140.1</v>
      </c>
      <c r="D59" t="s">
        <v>78</v>
      </c>
      <c r="E59">
        <v>71000</v>
      </c>
      <c r="G59">
        <v>0.39800000000000002</v>
      </c>
      <c r="H59">
        <v>3.4408409089999998</v>
      </c>
      <c r="I59">
        <v>1.4303044090000001</v>
      </c>
      <c r="P59">
        <v>52.4</v>
      </c>
      <c r="Q59">
        <v>55.15</v>
      </c>
      <c r="R59">
        <v>57.9</v>
      </c>
      <c r="S59">
        <v>6250</v>
      </c>
      <c r="T59">
        <v>73</v>
      </c>
      <c r="U59" t="s">
        <v>113</v>
      </c>
      <c r="V59">
        <v>2</v>
      </c>
    </row>
    <row r="60" spans="1:22" x14ac:dyDescent="0.25">
      <c r="A60">
        <v>59</v>
      </c>
      <c r="B60" t="s">
        <v>114</v>
      </c>
      <c r="C60">
        <v>140.9</v>
      </c>
      <c r="D60">
        <v>2000000</v>
      </c>
      <c r="E60">
        <v>10000</v>
      </c>
      <c r="F60">
        <v>200</v>
      </c>
      <c r="G60">
        <v>0.39800000000000002</v>
      </c>
      <c r="H60">
        <v>3.4408409089999998</v>
      </c>
      <c r="I60">
        <v>1.4303044090000001</v>
      </c>
      <c r="J60">
        <v>40.299999999999997</v>
      </c>
      <c r="K60">
        <v>42.35</v>
      </c>
      <c r="L60">
        <v>44.4</v>
      </c>
      <c r="M60">
        <v>610</v>
      </c>
      <c r="N60">
        <v>641.5</v>
      </c>
      <c r="O60">
        <v>673</v>
      </c>
      <c r="P60">
        <v>52.7</v>
      </c>
      <c r="Q60">
        <v>55.45</v>
      </c>
      <c r="R60">
        <v>58.2</v>
      </c>
      <c r="S60">
        <v>350</v>
      </c>
      <c r="T60">
        <v>100</v>
      </c>
      <c r="U60" t="s">
        <v>115</v>
      </c>
      <c r="V60">
        <v>3</v>
      </c>
    </row>
    <row r="61" spans="1:22" x14ac:dyDescent="0.25">
      <c r="A61">
        <v>60</v>
      </c>
      <c r="B61" t="s">
        <v>116</v>
      </c>
      <c r="C61">
        <v>144.19999999999999</v>
      </c>
      <c r="D61">
        <v>8000000</v>
      </c>
      <c r="E61">
        <v>35000</v>
      </c>
      <c r="F61">
        <v>228.57142859999999</v>
      </c>
      <c r="G61">
        <v>0.39800000000000002</v>
      </c>
      <c r="H61">
        <v>3.4408409089999998</v>
      </c>
      <c r="I61">
        <v>1.4303044090000001</v>
      </c>
      <c r="J61">
        <v>4.8</v>
      </c>
      <c r="K61">
        <v>5.0449999999999999</v>
      </c>
      <c r="L61">
        <v>5.29</v>
      </c>
      <c r="M61">
        <v>80.900000000000006</v>
      </c>
      <c r="N61">
        <v>85</v>
      </c>
      <c r="O61">
        <v>89.1</v>
      </c>
      <c r="P61">
        <v>45.2</v>
      </c>
      <c r="Q61">
        <v>47.6</v>
      </c>
      <c r="R61">
        <v>50</v>
      </c>
      <c r="S61">
        <v>449</v>
      </c>
      <c r="T61">
        <v>100</v>
      </c>
      <c r="U61" t="s">
        <v>117</v>
      </c>
      <c r="V61">
        <v>2</v>
      </c>
    </row>
    <row r="62" spans="1:22" x14ac:dyDescent="0.25">
      <c r="A62">
        <v>61</v>
      </c>
      <c r="B62" t="s">
        <v>118</v>
      </c>
      <c r="C62">
        <v>145</v>
      </c>
      <c r="D62" t="s">
        <v>78</v>
      </c>
      <c r="E62" t="s">
        <v>78</v>
      </c>
      <c r="G62">
        <v>0.39800000000000002</v>
      </c>
      <c r="H62">
        <v>3.4408409089999998</v>
      </c>
      <c r="I62">
        <v>1.4303044090000001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</row>
    <row r="63" spans="1:22" x14ac:dyDescent="0.25">
      <c r="A63">
        <v>62</v>
      </c>
      <c r="B63" t="s">
        <v>119</v>
      </c>
      <c r="C63">
        <v>150.4</v>
      </c>
      <c r="D63">
        <v>2000000</v>
      </c>
      <c r="E63">
        <v>700</v>
      </c>
      <c r="F63">
        <v>2857.1428569999998</v>
      </c>
      <c r="G63">
        <v>0.39800000000000002</v>
      </c>
      <c r="H63">
        <v>3.4408409089999998</v>
      </c>
      <c r="I63">
        <v>1.4303044090000001</v>
      </c>
      <c r="J63">
        <v>74.599999999999994</v>
      </c>
      <c r="K63">
        <v>78.400000000000006</v>
      </c>
      <c r="L63">
        <v>82.2</v>
      </c>
      <c r="M63">
        <v>1120</v>
      </c>
      <c r="N63">
        <v>1180</v>
      </c>
      <c r="O63">
        <v>1240</v>
      </c>
      <c r="P63">
        <v>52.7</v>
      </c>
      <c r="Q63">
        <v>55.45</v>
      </c>
      <c r="R63">
        <v>58.2</v>
      </c>
      <c r="S63">
        <v>725</v>
      </c>
      <c r="T63">
        <v>82</v>
      </c>
      <c r="U63" t="s">
        <v>120</v>
      </c>
      <c r="V63">
        <v>2</v>
      </c>
    </row>
    <row r="64" spans="1:22" x14ac:dyDescent="0.25">
      <c r="A64">
        <v>63</v>
      </c>
      <c r="B64" t="s">
        <v>121</v>
      </c>
      <c r="C64">
        <v>152</v>
      </c>
      <c r="D64" t="s">
        <v>78</v>
      </c>
      <c r="E64">
        <v>270</v>
      </c>
      <c r="G64">
        <v>0.39800000000000002</v>
      </c>
      <c r="H64">
        <v>3.4408409089999998</v>
      </c>
      <c r="I64">
        <v>1.4303044090000001</v>
      </c>
      <c r="J64">
        <v>1500</v>
      </c>
      <c r="K64">
        <v>1575</v>
      </c>
      <c r="L64">
        <v>1650</v>
      </c>
      <c r="M64">
        <v>19700</v>
      </c>
      <c r="N64">
        <v>20700</v>
      </c>
      <c r="O64">
        <v>21700</v>
      </c>
      <c r="P64">
        <v>52.7</v>
      </c>
      <c r="Q64">
        <v>55.45</v>
      </c>
      <c r="R64">
        <v>58.2</v>
      </c>
      <c r="S64">
        <v>1480</v>
      </c>
      <c r="T64">
        <v>100</v>
      </c>
      <c r="U64" t="s">
        <v>122</v>
      </c>
      <c r="V64">
        <v>1</v>
      </c>
    </row>
    <row r="65" spans="1:23" x14ac:dyDescent="0.25">
      <c r="A65">
        <v>64</v>
      </c>
      <c r="B65" t="s">
        <v>123</v>
      </c>
      <c r="C65">
        <v>157.25</v>
      </c>
      <c r="D65">
        <v>1000000</v>
      </c>
      <c r="E65">
        <v>4000</v>
      </c>
      <c r="F65">
        <v>250</v>
      </c>
      <c r="G65">
        <v>0.39800000000000002</v>
      </c>
      <c r="H65">
        <v>3.4408409089999998</v>
      </c>
      <c r="I65">
        <v>1.4303044090000001</v>
      </c>
      <c r="J65">
        <v>83.8</v>
      </c>
      <c r="K65">
        <v>88.1</v>
      </c>
      <c r="L65">
        <v>92.4</v>
      </c>
      <c r="M65">
        <v>1260</v>
      </c>
      <c r="N65">
        <v>1325</v>
      </c>
      <c r="O65">
        <v>1390</v>
      </c>
      <c r="P65">
        <v>52.7</v>
      </c>
      <c r="Q65">
        <v>55.45</v>
      </c>
      <c r="R65">
        <v>58.2</v>
      </c>
      <c r="S65">
        <v>873</v>
      </c>
      <c r="T65">
        <v>100</v>
      </c>
      <c r="U65" t="s">
        <v>124</v>
      </c>
      <c r="V65">
        <v>3</v>
      </c>
    </row>
    <row r="66" spans="1:23" x14ac:dyDescent="0.25">
      <c r="A66">
        <v>65</v>
      </c>
      <c r="B66" t="s">
        <v>125</v>
      </c>
      <c r="C66">
        <v>158.9</v>
      </c>
      <c r="D66">
        <v>300000</v>
      </c>
      <c r="E66">
        <v>607</v>
      </c>
      <c r="F66">
        <v>494.2339374</v>
      </c>
      <c r="G66">
        <v>0.39800000000000002</v>
      </c>
      <c r="H66">
        <v>3.4408409089999998</v>
      </c>
      <c r="I66">
        <v>1.4303044090000001</v>
      </c>
      <c r="J66">
        <v>953</v>
      </c>
      <c r="K66">
        <v>1001.5</v>
      </c>
      <c r="L66">
        <v>1050</v>
      </c>
      <c r="M66">
        <v>8740</v>
      </c>
      <c r="N66">
        <v>9190</v>
      </c>
      <c r="O66">
        <v>9640</v>
      </c>
      <c r="P66">
        <v>52.7</v>
      </c>
      <c r="Q66">
        <v>55.45</v>
      </c>
      <c r="R66">
        <v>58.2</v>
      </c>
      <c r="S66">
        <v>587</v>
      </c>
      <c r="T66">
        <v>100</v>
      </c>
      <c r="U66" t="s">
        <v>124</v>
      </c>
      <c r="V66">
        <v>3</v>
      </c>
      <c r="W66" t="s">
        <v>126</v>
      </c>
    </row>
    <row r="67" spans="1:23" x14ac:dyDescent="0.25">
      <c r="A67">
        <v>66</v>
      </c>
      <c r="B67" t="s">
        <v>127</v>
      </c>
      <c r="C67">
        <v>162.5</v>
      </c>
      <c r="D67" t="s">
        <v>78</v>
      </c>
      <c r="E67">
        <v>2500</v>
      </c>
      <c r="G67">
        <v>0.39800000000000002</v>
      </c>
      <c r="H67">
        <v>3.4408409089999998</v>
      </c>
      <c r="I67">
        <v>1.4303044090000001</v>
      </c>
      <c r="J67">
        <v>89.2</v>
      </c>
      <c r="K67">
        <v>93.8</v>
      </c>
      <c r="L67">
        <v>98.4</v>
      </c>
      <c r="M67">
        <v>1340</v>
      </c>
      <c r="N67">
        <v>1410</v>
      </c>
      <c r="O67">
        <v>1480</v>
      </c>
      <c r="P67">
        <v>52.7</v>
      </c>
      <c r="Q67">
        <v>55.45</v>
      </c>
      <c r="R67">
        <v>58.2</v>
      </c>
      <c r="S67">
        <v>689</v>
      </c>
      <c r="T67">
        <v>100</v>
      </c>
      <c r="U67" t="s">
        <v>128</v>
      </c>
      <c r="V67">
        <v>3</v>
      </c>
    </row>
    <row r="68" spans="1:23" x14ac:dyDescent="0.25">
      <c r="A68">
        <v>67</v>
      </c>
      <c r="B68" t="s">
        <v>129</v>
      </c>
      <c r="C68">
        <v>165</v>
      </c>
      <c r="D68">
        <v>400000</v>
      </c>
      <c r="E68">
        <v>10</v>
      </c>
      <c r="F68">
        <v>40000</v>
      </c>
      <c r="G68">
        <v>0.317</v>
      </c>
      <c r="H68">
        <v>2.9832545449999999</v>
      </c>
      <c r="I68">
        <v>0.96464172699999995</v>
      </c>
      <c r="J68">
        <v>123</v>
      </c>
      <c r="K68">
        <v>129</v>
      </c>
      <c r="L68">
        <v>135</v>
      </c>
      <c r="M68">
        <v>1840</v>
      </c>
      <c r="N68">
        <v>1935</v>
      </c>
      <c r="O68">
        <v>2030</v>
      </c>
      <c r="P68">
        <v>52.7</v>
      </c>
      <c r="Q68">
        <v>55.45</v>
      </c>
      <c r="R68">
        <v>58.2</v>
      </c>
      <c r="S68">
        <v>73.400000000000006</v>
      </c>
      <c r="T68">
        <v>100</v>
      </c>
      <c r="U68" t="s">
        <v>130</v>
      </c>
      <c r="V68">
        <v>3</v>
      </c>
    </row>
    <row r="69" spans="1:23" x14ac:dyDescent="0.25">
      <c r="A69">
        <v>68</v>
      </c>
      <c r="B69" t="s">
        <v>131</v>
      </c>
      <c r="C69">
        <v>167.3</v>
      </c>
      <c r="D69" t="s">
        <v>78</v>
      </c>
      <c r="E69">
        <v>500</v>
      </c>
      <c r="G69">
        <v>0.39800000000000002</v>
      </c>
      <c r="H69">
        <v>3.4408409089999998</v>
      </c>
      <c r="I69">
        <v>1.4303044090000001</v>
      </c>
      <c r="J69">
        <v>188</v>
      </c>
      <c r="K69">
        <v>197.5</v>
      </c>
      <c r="L69">
        <v>207</v>
      </c>
      <c r="M69">
        <v>2810</v>
      </c>
      <c r="N69">
        <v>2955</v>
      </c>
      <c r="O69">
        <v>3100</v>
      </c>
      <c r="P69">
        <v>52.7</v>
      </c>
      <c r="Q69">
        <v>55.45</v>
      </c>
      <c r="R69">
        <v>58.2</v>
      </c>
      <c r="S69">
        <v>96.6</v>
      </c>
      <c r="T69">
        <v>100</v>
      </c>
      <c r="U69" t="s">
        <v>130</v>
      </c>
      <c r="V69">
        <v>0</v>
      </c>
      <c r="W69" t="s">
        <v>132</v>
      </c>
    </row>
    <row r="70" spans="1:23" x14ac:dyDescent="0.25">
      <c r="A70">
        <v>69</v>
      </c>
      <c r="B70" t="s">
        <v>133</v>
      </c>
      <c r="C70">
        <v>169</v>
      </c>
      <c r="D70">
        <v>100000</v>
      </c>
      <c r="E70">
        <v>50</v>
      </c>
      <c r="F70">
        <v>2000</v>
      </c>
      <c r="G70">
        <v>0.39800000000000002</v>
      </c>
      <c r="H70">
        <v>3.4408409089999998</v>
      </c>
      <c r="I70">
        <v>1.4303044090000001</v>
      </c>
      <c r="J70">
        <v>1790</v>
      </c>
      <c r="K70">
        <v>1885</v>
      </c>
      <c r="L70">
        <v>1980</v>
      </c>
      <c r="M70">
        <v>25600</v>
      </c>
      <c r="N70">
        <v>26950</v>
      </c>
      <c r="O70">
        <v>28300</v>
      </c>
      <c r="P70">
        <v>52.7</v>
      </c>
      <c r="Q70">
        <v>55.45</v>
      </c>
      <c r="R70">
        <v>58.2</v>
      </c>
      <c r="S70">
        <v>96.4</v>
      </c>
      <c r="T70">
        <v>100</v>
      </c>
      <c r="U70" t="s">
        <v>134</v>
      </c>
      <c r="V70">
        <v>0</v>
      </c>
    </row>
    <row r="71" spans="1:23" x14ac:dyDescent="0.25">
      <c r="A71">
        <v>70</v>
      </c>
      <c r="B71" t="s">
        <v>135</v>
      </c>
      <c r="C71">
        <v>173</v>
      </c>
      <c r="D71">
        <v>1000000</v>
      </c>
      <c r="E71">
        <v>50</v>
      </c>
      <c r="F71">
        <v>20000</v>
      </c>
      <c r="G71">
        <v>0.39800000000000002</v>
      </c>
      <c r="H71">
        <v>3.4408409089999998</v>
      </c>
      <c r="I71">
        <v>1.4303044090000001</v>
      </c>
      <c r="J71">
        <v>784</v>
      </c>
      <c r="K71">
        <v>824.5</v>
      </c>
      <c r="L71">
        <v>865</v>
      </c>
      <c r="M71">
        <v>5340</v>
      </c>
      <c r="N71">
        <v>5615</v>
      </c>
      <c r="O71">
        <v>5890</v>
      </c>
      <c r="P71">
        <v>52.4</v>
      </c>
      <c r="Q71">
        <v>55.15</v>
      </c>
      <c r="R71">
        <v>57.9</v>
      </c>
      <c r="S71">
        <v>33.6</v>
      </c>
      <c r="T71">
        <v>100</v>
      </c>
      <c r="U71" t="s">
        <v>134</v>
      </c>
      <c r="V71">
        <v>2</v>
      </c>
      <c r="W71" t="s">
        <v>132</v>
      </c>
    </row>
    <row r="72" spans="1:23" x14ac:dyDescent="0.25">
      <c r="A72">
        <v>71</v>
      </c>
      <c r="B72" t="s">
        <v>136</v>
      </c>
      <c r="C72">
        <v>175</v>
      </c>
      <c r="D72">
        <v>200000</v>
      </c>
      <c r="E72">
        <v>10</v>
      </c>
      <c r="F72">
        <v>20000</v>
      </c>
      <c r="G72">
        <v>0.39800000000000002</v>
      </c>
      <c r="H72">
        <v>3.4408409089999998</v>
      </c>
      <c r="I72">
        <v>1.4303044090000001</v>
      </c>
      <c r="J72">
        <v>2650</v>
      </c>
      <c r="K72">
        <v>2785</v>
      </c>
      <c r="L72">
        <v>2920</v>
      </c>
      <c r="M72">
        <v>42800</v>
      </c>
      <c r="N72">
        <v>45000</v>
      </c>
      <c r="O72">
        <v>47200</v>
      </c>
      <c r="P72">
        <v>52.7</v>
      </c>
      <c r="Q72">
        <v>55.45</v>
      </c>
      <c r="R72">
        <v>58.2</v>
      </c>
      <c r="S72">
        <v>149</v>
      </c>
      <c r="T72">
        <v>100</v>
      </c>
      <c r="U72" t="s">
        <v>134</v>
      </c>
      <c r="V72">
        <v>1</v>
      </c>
      <c r="W72" t="s">
        <v>132</v>
      </c>
    </row>
    <row r="73" spans="1:23" x14ac:dyDescent="0.25">
      <c r="A73">
        <v>72</v>
      </c>
      <c r="B73" t="s">
        <v>137</v>
      </c>
      <c r="C73">
        <v>178.5</v>
      </c>
      <c r="D73">
        <v>1100000</v>
      </c>
      <c r="E73">
        <v>75</v>
      </c>
      <c r="F73">
        <v>14666.666670000001</v>
      </c>
      <c r="G73">
        <v>0.43559999999999999</v>
      </c>
      <c r="H73">
        <v>2.9818409090000002</v>
      </c>
      <c r="I73">
        <v>1.2962304090000001</v>
      </c>
      <c r="J73">
        <v>69.8</v>
      </c>
      <c r="K73">
        <v>73.400000000000006</v>
      </c>
      <c r="L73">
        <v>77</v>
      </c>
      <c r="M73">
        <v>1050</v>
      </c>
      <c r="N73">
        <v>1105</v>
      </c>
      <c r="O73">
        <v>1160</v>
      </c>
      <c r="P73">
        <v>7720</v>
      </c>
      <c r="Q73">
        <v>8130</v>
      </c>
      <c r="R73">
        <v>8540</v>
      </c>
      <c r="S73">
        <v>6.47</v>
      </c>
      <c r="T73">
        <v>100</v>
      </c>
      <c r="U73" t="s">
        <v>52</v>
      </c>
      <c r="V73">
        <v>3</v>
      </c>
      <c r="W73" t="s">
        <v>138</v>
      </c>
    </row>
    <row r="74" spans="1:23" x14ac:dyDescent="0.25">
      <c r="A74">
        <v>73</v>
      </c>
      <c r="B74" t="s">
        <v>139</v>
      </c>
      <c r="C74">
        <v>181</v>
      </c>
      <c r="D74">
        <v>390000</v>
      </c>
      <c r="E74">
        <v>2408</v>
      </c>
      <c r="F74">
        <v>161.96013289999999</v>
      </c>
      <c r="G74">
        <v>0.25004656400000003</v>
      </c>
      <c r="H74">
        <v>3.6516917090000001</v>
      </c>
      <c r="I74">
        <v>0.94965476000000004</v>
      </c>
      <c r="J74">
        <v>164</v>
      </c>
      <c r="K74">
        <v>173</v>
      </c>
      <c r="L74">
        <v>182</v>
      </c>
      <c r="M74">
        <v>2570</v>
      </c>
      <c r="N74">
        <v>2710</v>
      </c>
      <c r="O74">
        <v>2850</v>
      </c>
      <c r="P74">
        <v>616</v>
      </c>
      <c r="Q74">
        <v>648.5</v>
      </c>
      <c r="R74">
        <v>681</v>
      </c>
      <c r="S74">
        <v>186</v>
      </c>
      <c r="T74">
        <v>28</v>
      </c>
      <c r="U74" t="s">
        <v>140</v>
      </c>
      <c r="V74">
        <v>4</v>
      </c>
    </row>
    <row r="75" spans="1:23" x14ac:dyDescent="0.25">
      <c r="A75">
        <v>74</v>
      </c>
      <c r="B75" t="s">
        <v>141</v>
      </c>
      <c r="C75">
        <v>184</v>
      </c>
      <c r="D75">
        <v>4403000</v>
      </c>
      <c r="E75">
        <v>77910</v>
      </c>
      <c r="F75">
        <v>56.513926329999997</v>
      </c>
      <c r="G75">
        <v>0.65857481200000001</v>
      </c>
      <c r="H75">
        <v>3.5734976249999999</v>
      </c>
      <c r="I75">
        <v>2.4023330299999999</v>
      </c>
      <c r="J75">
        <v>36.200000000000003</v>
      </c>
      <c r="K75">
        <v>38.049999999999997</v>
      </c>
      <c r="L75">
        <v>39.9</v>
      </c>
      <c r="M75">
        <v>550</v>
      </c>
      <c r="N75">
        <v>578</v>
      </c>
      <c r="O75">
        <v>606</v>
      </c>
      <c r="P75">
        <v>147</v>
      </c>
      <c r="Q75">
        <v>154.5</v>
      </c>
      <c r="R75">
        <v>162</v>
      </c>
      <c r="S75">
        <v>78.400000000000006</v>
      </c>
      <c r="T75">
        <v>5</v>
      </c>
      <c r="U75" t="s">
        <v>142</v>
      </c>
      <c r="V75">
        <v>0</v>
      </c>
    </row>
    <row r="76" spans="1:23" x14ac:dyDescent="0.25">
      <c r="A76">
        <v>75</v>
      </c>
      <c r="B76" t="s">
        <v>143</v>
      </c>
      <c r="C76">
        <v>186.2</v>
      </c>
      <c r="D76">
        <v>2314.1999999999998</v>
      </c>
      <c r="E76">
        <v>46.5</v>
      </c>
      <c r="F76">
        <v>49.767741940000001</v>
      </c>
      <c r="G76">
        <v>0.333761264</v>
      </c>
      <c r="H76">
        <v>3.03763746</v>
      </c>
      <c r="I76">
        <v>0.98306214300000005</v>
      </c>
      <c r="J76">
        <v>929</v>
      </c>
      <c r="K76">
        <v>974.5</v>
      </c>
      <c r="L76">
        <v>1020</v>
      </c>
      <c r="M76">
        <v>8240</v>
      </c>
      <c r="N76">
        <v>8665</v>
      </c>
      <c r="O76">
        <v>9090</v>
      </c>
      <c r="P76">
        <v>3610</v>
      </c>
      <c r="Q76">
        <v>3800</v>
      </c>
      <c r="R76">
        <v>3990</v>
      </c>
      <c r="S76">
        <v>140</v>
      </c>
      <c r="T76">
        <v>100</v>
      </c>
      <c r="U76" t="s">
        <v>144</v>
      </c>
      <c r="V76">
        <v>3</v>
      </c>
    </row>
    <row r="77" spans="1:23" x14ac:dyDescent="0.25">
      <c r="A77">
        <v>76</v>
      </c>
      <c r="B77" t="s">
        <v>145</v>
      </c>
      <c r="C77">
        <v>190.2</v>
      </c>
      <c r="D77">
        <v>22.6</v>
      </c>
      <c r="E77">
        <v>1</v>
      </c>
      <c r="F77">
        <v>22.6</v>
      </c>
      <c r="G77">
        <v>0.90900000000000003</v>
      </c>
      <c r="H77">
        <v>3.55</v>
      </c>
      <c r="I77">
        <v>3.25</v>
      </c>
      <c r="J77">
        <v>3580</v>
      </c>
      <c r="K77">
        <v>3760</v>
      </c>
      <c r="L77">
        <v>3940</v>
      </c>
      <c r="M77">
        <v>61500</v>
      </c>
      <c r="N77">
        <v>64650</v>
      </c>
      <c r="O77">
        <v>67800</v>
      </c>
      <c r="P77">
        <v>185000</v>
      </c>
      <c r="Q77">
        <v>195000</v>
      </c>
      <c r="R77">
        <v>205000</v>
      </c>
      <c r="S77">
        <v>0</v>
      </c>
      <c r="T77">
        <v>100</v>
      </c>
      <c r="U77" t="s">
        <v>90</v>
      </c>
      <c r="V77">
        <v>2</v>
      </c>
    </row>
    <row r="78" spans="1:23" x14ac:dyDescent="0.25">
      <c r="A78">
        <v>77</v>
      </c>
      <c r="B78" t="s">
        <v>146</v>
      </c>
      <c r="C78">
        <v>192.2</v>
      </c>
      <c r="D78">
        <v>1500</v>
      </c>
      <c r="E78">
        <v>8.25</v>
      </c>
      <c r="F78">
        <v>181.81818179999999</v>
      </c>
      <c r="G78">
        <v>0.90861999900000001</v>
      </c>
      <c r="H78">
        <v>3.5493270429999999</v>
      </c>
      <c r="I78">
        <v>3.2524456169999998</v>
      </c>
      <c r="J78">
        <v>2770</v>
      </c>
      <c r="K78">
        <v>2910</v>
      </c>
      <c r="L78">
        <v>3050</v>
      </c>
      <c r="M78">
        <v>45300</v>
      </c>
      <c r="N78">
        <v>47600</v>
      </c>
      <c r="O78">
        <v>49900</v>
      </c>
      <c r="P78">
        <v>186000</v>
      </c>
      <c r="Q78">
        <v>196000</v>
      </c>
      <c r="R78">
        <v>206000</v>
      </c>
      <c r="S78">
        <v>181</v>
      </c>
      <c r="T78">
        <v>100</v>
      </c>
      <c r="U78" t="s">
        <v>90</v>
      </c>
      <c r="V78">
        <v>0</v>
      </c>
    </row>
    <row r="79" spans="1:23" x14ac:dyDescent="0.25">
      <c r="A79">
        <v>78</v>
      </c>
      <c r="B79" t="s">
        <v>57</v>
      </c>
      <c r="C79">
        <v>195</v>
      </c>
      <c r="D79">
        <v>19200</v>
      </c>
      <c r="E79">
        <v>175</v>
      </c>
      <c r="F79">
        <v>109.7142857</v>
      </c>
      <c r="G79">
        <v>0.50121861199999995</v>
      </c>
      <c r="H79">
        <v>3.4532789610000001</v>
      </c>
      <c r="I79">
        <v>1.784741109</v>
      </c>
      <c r="J79">
        <v>39700</v>
      </c>
      <c r="K79">
        <v>41800</v>
      </c>
      <c r="L79">
        <v>43900</v>
      </c>
      <c r="M79">
        <v>1070000</v>
      </c>
      <c r="N79">
        <v>1130000</v>
      </c>
      <c r="O79">
        <v>1190000</v>
      </c>
      <c r="P79">
        <v>186000</v>
      </c>
      <c r="Q79">
        <v>196000</v>
      </c>
      <c r="R79">
        <v>206000</v>
      </c>
      <c r="S79">
        <v>50.6</v>
      </c>
      <c r="T79">
        <v>16</v>
      </c>
      <c r="U79" t="s">
        <v>147</v>
      </c>
      <c r="V79">
        <v>1</v>
      </c>
    </row>
    <row r="80" spans="1:23" x14ac:dyDescent="0.25">
      <c r="A80">
        <v>79</v>
      </c>
      <c r="B80" t="s">
        <v>148</v>
      </c>
      <c r="C80">
        <v>197</v>
      </c>
      <c r="D80">
        <v>59320</v>
      </c>
      <c r="E80">
        <v>3040</v>
      </c>
      <c r="F80">
        <v>19.513157889999999</v>
      </c>
      <c r="G80">
        <v>0.10625865700000001</v>
      </c>
      <c r="H80">
        <v>3.1825867219999999</v>
      </c>
      <c r="I80">
        <v>0.34301252399999999</v>
      </c>
      <c r="J80">
        <v>59000</v>
      </c>
      <c r="K80">
        <v>62100</v>
      </c>
      <c r="L80">
        <v>65200</v>
      </c>
      <c r="M80">
        <v>405000</v>
      </c>
      <c r="N80">
        <v>426000</v>
      </c>
      <c r="O80">
        <v>447000</v>
      </c>
      <c r="P80">
        <v>252000</v>
      </c>
      <c r="Q80">
        <v>252000</v>
      </c>
      <c r="R80">
        <v>252000</v>
      </c>
      <c r="S80">
        <v>60.9</v>
      </c>
      <c r="T80">
        <v>14</v>
      </c>
      <c r="U80" t="s">
        <v>149</v>
      </c>
      <c r="V80">
        <v>3</v>
      </c>
    </row>
    <row r="81" spans="1:23" x14ac:dyDescent="0.25">
      <c r="A81">
        <v>80</v>
      </c>
      <c r="B81" t="s">
        <v>150</v>
      </c>
      <c r="C81">
        <v>200.6</v>
      </c>
      <c r="D81">
        <v>600000</v>
      </c>
      <c r="E81">
        <v>1158</v>
      </c>
      <c r="F81">
        <v>518.13471500000003</v>
      </c>
      <c r="G81">
        <v>0.75418877799999995</v>
      </c>
      <c r="H81">
        <v>3.648480138</v>
      </c>
      <c r="I81">
        <v>2.754624792</v>
      </c>
      <c r="J81">
        <v>10.6</v>
      </c>
      <c r="K81">
        <v>11.2</v>
      </c>
      <c r="L81">
        <v>11.8</v>
      </c>
      <c r="M81">
        <v>105</v>
      </c>
      <c r="N81">
        <v>110.5</v>
      </c>
      <c r="O81">
        <v>116</v>
      </c>
      <c r="P81">
        <v>451</v>
      </c>
      <c r="Q81">
        <v>474.5</v>
      </c>
      <c r="R81">
        <v>498</v>
      </c>
      <c r="S81">
        <v>471</v>
      </c>
      <c r="T81">
        <v>10</v>
      </c>
      <c r="U81" t="s">
        <v>151</v>
      </c>
      <c r="V81">
        <v>4</v>
      </c>
    </row>
    <row r="82" spans="1:23" x14ac:dyDescent="0.25">
      <c r="A82">
        <v>81</v>
      </c>
      <c r="B82" t="s">
        <v>152</v>
      </c>
      <c r="C82">
        <v>200.6</v>
      </c>
      <c r="D82">
        <v>647000</v>
      </c>
      <c r="E82">
        <v>8</v>
      </c>
      <c r="F82">
        <v>80875</v>
      </c>
      <c r="J82">
        <v>151</v>
      </c>
      <c r="K82">
        <v>158.5</v>
      </c>
      <c r="L82">
        <v>166</v>
      </c>
      <c r="M82">
        <v>2260</v>
      </c>
      <c r="N82">
        <v>2375</v>
      </c>
      <c r="O82">
        <v>2490</v>
      </c>
      <c r="P82">
        <v>1750</v>
      </c>
      <c r="Q82">
        <v>1840</v>
      </c>
      <c r="R82">
        <v>1930</v>
      </c>
      <c r="S82">
        <v>21.4</v>
      </c>
      <c r="T82">
        <v>100</v>
      </c>
      <c r="U82" t="s">
        <v>153</v>
      </c>
      <c r="V82">
        <v>3</v>
      </c>
      <c r="W82" t="s">
        <v>154</v>
      </c>
    </row>
    <row r="83" spans="1:23" x14ac:dyDescent="0.25">
      <c r="A83">
        <v>82</v>
      </c>
      <c r="B83" t="s">
        <v>155</v>
      </c>
      <c r="C83">
        <v>207.2</v>
      </c>
      <c r="D83">
        <v>93600000</v>
      </c>
      <c r="E83">
        <v>4490000</v>
      </c>
      <c r="F83">
        <v>20.84632517</v>
      </c>
      <c r="G83">
        <v>0.22298004499999999</v>
      </c>
      <c r="H83">
        <v>3.3883286090000002</v>
      </c>
      <c r="I83">
        <v>0.79381318700000003</v>
      </c>
      <c r="J83">
        <v>1.66</v>
      </c>
      <c r="K83">
        <v>1.7450000000000001</v>
      </c>
      <c r="L83">
        <v>1.83</v>
      </c>
      <c r="M83">
        <v>26.2</v>
      </c>
      <c r="N83">
        <v>27.55</v>
      </c>
      <c r="O83">
        <v>28.9</v>
      </c>
      <c r="P83">
        <v>327</v>
      </c>
      <c r="Q83">
        <v>344.5</v>
      </c>
      <c r="R83">
        <v>362</v>
      </c>
      <c r="S83">
        <v>60.9</v>
      </c>
      <c r="T83">
        <v>10</v>
      </c>
      <c r="U83" t="s">
        <v>156</v>
      </c>
      <c r="V83">
        <v>2</v>
      </c>
    </row>
    <row r="84" spans="1:23" x14ac:dyDescent="0.25">
      <c r="A84">
        <v>83</v>
      </c>
      <c r="B84" t="s">
        <v>157</v>
      </c>
      <c r="C84">
        <v>209</v>
      </c>
      <c r="D84">
        <v>368000</v>
      </c>
      <c r="E84">
        <v>19600</v>
      </c>
      <c r="F84">
        <v>18.775510199999999</v>
      </c>
      <c r="G84">
        <v>0.67941014200000005</v>
      </c>
      <c r="H84">
        <v>3.6153061219999998</v>
      </c>
      <c r="I84">
        <v>2.4794033679999998</v>
      </c>
      <c r="J84">
        <v>8.6300000000000008</v>
      </c>
      <c r="K84">
        <v>9.07</v>
      </c>
      <c r="L84">
        <v>9.51</v>
      </c>
      <c r="M84">
        <v>138</v>
      </c>
      <c r="N84">
        <v>145</v>
      </c>
      <c r="O84">
        <v>152</v>
      </c>
      <c r="P84">
        <v>2800</v>
      </c>
      <c r="Q84">
        <v>2945</v>
      </c>
      <c r="R84">
        <v>3090</v>
      </c>
      <c r="S84">
        <v>66.5</v>
      </c>
      <c r="T84">
        <v>90</v>
      </c>
      <c r="U84" t="s">
        <v>158</v>
      </c>
      <c r="V84">
        <v>0</v>
      </c>
    </row>
    <row r="85" spans="1:23" x14ac:dyDescent="0.25">
      <c r="A85">
        <v>90</v>
      </c>
      <c r="B85" t="s">
        <v>159</v>
      </c>
      <c r="C85">
        <v>232</v>
      </c>
      <c r="D85">
        <v>3000000</v>
      </c>
      <c r="E85">
        <v>6990</v>
      </c>
      <c r="F85">
        <v>429.18454939999998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>
        <v>49</v>
      </c>
      <c r="Q85">
        <v>49</v>
      </c>
      <c r="R85">
        <v>49</v>
      </c>
      <c r="S85">
        <v>26.9</v>
      </c>
      <c r="T85">
        <v>100</v>
      </c>
      <c r="U85" t="s">
        <v>160</v>
      </c>
      <c r="V85">
        <v>1</v>
      </c>
      <c r="W85" t="s">
        <v>132</v>
      </c>
    </row>
    <row r="86" spans="1:23" x14ac:dyDescent="0.25">
      <c r="A86">
        <v>92</v>
      </c>
      <c r="B86" t="s">
        <v>161</v>
      </c>
      <c r="C86">
        <v>238</v>
      </c>
      <c r="D86">
        <v>10503800</v>
      </c>
      <c r="E86">
        <v>54700</v>
      </c>
      <c r="F86">
        <v>192.02559410000001</v>
      </c>
      <c r="G86">
        <v>0.23211917200000001</v>
      </c>
      <c r="H86">
        <v>3.1191919189999999</v>
      </c>
      <c r="I86">
        <v>0.76272217099999995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>
        <v>3370</v>
      </c>
      <c r="Q86">
        <v>3545</v>
      </c>
      <c r="R86">
        <v>3720</v>
      </c>
      <c r="S86">
        <v>234</v>
      </c>
      <c r="T86">
        <v>10</v>
      </c>
      <c r="U86" t="s">
        <v>162</v>
      </c>
      <c r="V86">
        <v>4</v>
      </c>
      <c r="W8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Thuy Huong Nguyen</cp:lastModifiedBy>
  <dcterms:created xsi:type="dcterms:W3CDTF">2026-04-15T08:07:58Z</dcterms:created>
  <dcterms:modified xsi:type="dcterms:W3CDTF">2026-04-20T12:44:25Z</dcterms:modified>
</cp:coreProperties>
</file>